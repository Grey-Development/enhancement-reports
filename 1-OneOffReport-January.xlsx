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Weekly Trends" sheetId="2" state="visible" r:id="rId2"/>
    <sheet xmlns:r="http://schemas.openxmlformats.org/officeDocument/2006/relationships" name="Team Performance" sheetId="3" state="visible" r:id="rId3"/>
    <sheet xmlns:r="http://schemas.openxmlformats.org/officeDocument/2006/relationships" name="Salesperson" sheetId="4" state="visible" r:id="rId4"/>
    <sheet xmlns:r="http://schemas.openxmlformats.org/officeDocument/2006/relationships" name="Client Analysis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Invoi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($* #,##0_);_($* (#,##0);_($* &quot;-&quot;??_);_(@_)"/>
    <numFmt numFmtId="165" formatCode="_($* #,##0.00_);_($* (#,##0.00);_($* &quot;-&quot;??_);_(@_)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1B365D"/>
      <sz val="18"/>
    </font>
    <font>
      <i val="1"/>
      <color rgb="00808080"/>
      <sz val="10"/>
    </font>
    <font>
      <color rgb="00808080"/>
      <sz val="9"/>
    </font>
    <font>
      <b val="1"/>
      <color rgb="001B365D"/>
      <sz val="20"/>
    </font>
    <font>
      <color rgb="00808080"/>
      <sz val="8"/>
    </font>
    <font>
      <color rgb="00548235"/>
      <sz val="8"/>
    </font>
    <font>
      <name val="Calibri"/>
      <b val="1"/>
      <color rgb="001B365D"/>
      <sz val="12"/>
    </font>
    <font>
      <name val="Calibri"/>
      <b val="1"/>
      <color rgb="00FFFFFF"/>
      <sz val="10"/>
    </font>
    <font>
      <b val="1"/>
      <color rgb="001B365D"/>
    </font>
    <font>
      <b val="1"/>
      <color rgb="00C00000"/>
    </font>
  </fonts>
  <fills count="11">
    <fill>
      <patternFill/>
    </fill>
    <fill>
      <patternFill patternType="gray125"/>
    </fill>
    <fill>
      <patternFill patternType="solid">
        <fgColor rgb="00D6DCE5"/>
        <bgColor rgb="00D6DCE5"/>
      </patternFill>
    </fill>
    <fill>
      <patternFill patternType="solid">
        <fgColor rgb="001B365D"/>
        <bgColor rgb="001B365D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8" fillId="4" borderId="0" pivotButton="0" quotePrefix="0" xfId="0"/>
    <xf numFmtId="165" fontId="8" fillId="4" borderId="0" pivotButton="0" quotePrefix="0" xfId="0"/>
    <xf numFmtId="166" fontId="8" fillId="4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2" borderId="1" pivotButton="0" quotePrefix="0" xfId="0"/>
    <xf numFmtId="0" fontId="9" fillId="0" borderId="0" pivotButton="0" quotePrefix="0" xfId="0"/>
    <xf numFmtId="165" fontId="10" fillId="0" borderId="0" pivotButton="0" quotePrefix="0" xfId="0"/>
    <xf numFmtId="0" fontId="0" fillId="8" borderId="1" pivotButton="0" quotePrefix="0" xfId="0"/>
    <xf numFmtId="0" fontId="0" fillId="9" borderId="1" pivotButton="0" quotePrefix="0" xfId="0"/>
    <xf numFmtId="165" fontId="0" fillId="5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5" fontId="0" fillId="7" borderId="1" pivotButton="0" quotePrefix="0" xfId="0"/>
    <xf numFmtId="166" fontId="0" fillId="1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" customWidth="1" min="9" max="9"/>
  </cols>
  <sheetData>
    <row r="2">
      <c r="B2" s="1" t="inlineStr">
        <is>
          <t>ENHANCEMENT JOBS - JANUARY 2026</t>
        </is>
      </c>
    </row>
    <row r="3">
      <c r="B3" s="2" t="inlineStr">
        <is>
          <t>Generated: February 02, 2026 at 06:38 AM</t>
        </is>
      </c>
    </row>
    <row r="5">
      <c r="B5" s="3" t="inlineStr">
        <is>
          <t>TOTAL JOBS</t>
        </is>
      </c>
      <c r="C5" s="4" t="n"/>
      <c r="D5" s="3" t="inlineStr">
        <is>
          <t>TOTAL REVENUE</t>
        </is>
      </c>
      <c r="E5" s="4" t="n"/>
      <c r="F5" s="3" t="inlineStr">
        <is>
          <t>GROSS PROFIT</t>
        </is>
      </c>
      <c r="G5" s="4" t="n"/>
      <c r="H5" s="3" t="inlineStr">
        <is>
          <t>AVG JOB VALUE</t>
        </is>
      </c>
    </row>
    <row r="6">
      <c r="B6" s="5" t="n">
        <v>30</v>
      </c>
      <c r="C6" s="4" t="n"/>
      <c r="D6" s="6" t="n">
        <v>35405.75</v>
      </c>
      <c r="E6" s="4" t="n"/>
      <c r="F6" s="6" t="n">
        <v>13409.02</v>
      </c>
      <c r="G6" s="4" t="n"/>
      <c r="H6" s="6" t="n">
        <v>1180.191666666667</v>
      </c>
    </row>
    <row r="7">
      <c r="B7" s="7" t="inlineStr">
        <is>
          <t>29 std / 1 contracted</t>
        </is>
      </c>
      <c r="C7" s="4" t="n"/>
      <c r="D7" s="4" t="n"/>
      <c r="E7" s="4" t="n"/>
      <c r="F7" s="8" t="inlineStr">
        <is>
          <t>margin: 37.9%</t>
        </is>
      </c>
      <c r="G7" s="4" t="n"/>
      <c r="H7" s="4" t="n"/>
    </row>
    <row r="10">
      <c r="B10" s="9" t="inlineStr">
        <is>
          <t>COST BREAKDOWN</t>
        </is>
      </c>
    </row>
    <row r="11">
      <c r="B11" s="10" t="inlineStr">
        <is>
          <t>Category</t>
        </is>
      </c>
      <c r="C11" s="10" t="inlineStr">
        <is>
          <t>Amount</t>
        </is>
      </c>
      <c r="D11" s="10" t="inlineStr">
        <is>
          <t>% of Total</t>
        </is>
      </c>
      <c r="E11" s="10" t="inlineStr">
        <is>
          <t>% of Revenue</t>
        </is>
      </c>
    </row>
    <row r="12">
      <c r="B12" s="11" t="inlineStr">
        <is>
          <t>Labor Costs</t>
        </is>
      </c>
      <c r="C12" s="12" t="n">
        <v>6451.18</v>
      </c>
      <c r="D12" s="13" t="n">
        <v>0.2932790464764536</v>
      </c>
      <c r="E12" s="13" t="n">
        <v>0.1822071273733786</v>
      </c>
    </row>
    <row r="13">
      <c r="B13" s="11" t="inlineStr">
        <is>
          <t>Materials/Expenses</t>
        </is>
      </c>
      <c r="C13" s="12" t="n">
        <v>15545.55</v>
      </c>
      <c r="D13" s="13" t="n">
        <v>0.7067209535235465</v>
      </c>
      <c r="E13" s="13" t="n">
        <v>0.4390685128827944</v>
      </c>
    </row>
    <row r="14">
      <c r="B14" s="11" t="inlineStr">
        <is>
          <t>Other Costs</t>
        </is>
      </c>
      <c r="C14" s="12" t="n">
        <v>0</v>
      </c>
      <c r="D14" s="13" t="n">
        <v>0</v>
      </c>
      <c r="E14" s="13" t="n">
        <v>0</v>
      </c>
    </row>
    <row r="15">
      <c r="B15" s="14" t="inlineStr">
        <is>
          <t>TOTAL COSTS</t>
        </is>
      </c>
      <c r="C15" s="15" t="n">
        <v>21996.73</v>
      </c>
      <c r="D15" s="16" t="n">
        <v>1</v>
      </c>
      <c r="E15" s="16" t="n">
        <v>0.6212756402561731</v>
      </c>
    </row>
    <row r="18">
      <c r="B18" s="9" t="inlineStr">
        <is>
          <t>INVOICE STATUS</t>
        </is>
      </c>
    </row>
    <row r="19">
      <c r="B19" s="10" t="inlineStr">
        <is>
          <t>Status</t>
        </is>
      </c>
      <c r="C19" s="10" t="inlineStr">
        <is>
          <t>Count</t>
        </is>
      </c>
      <c r="D19" s="10" t="inlineStr">
        <is>
          <t>Amount</t>
        </is>
      </c>
      <c r="E19" s="10" t="inlineStr">
        <is>
          <t>% of Total</t>
        </is>
      </c>
      <c r="F19" s="10" t="inlineStr">
        <is>
          <t>Avg Invoice</t>
        </is>
      </c>
    </row>
    <row r="20">
      <c r="B20" s="17" t="inlineStr">
        <is>
          <t>Paid</t>
        </is>
      </c>
      <c r="C20" s="11" t="n">
        <v>7</v>
      </c>
      <c r="D20" s="12" t="n">
        <v>7674.88</v>
      </c>
      <c r="E20" s="13" t="n">
        <v>0.3642412487002198</v>
      </c>
      <c r="F20" s="12" t="n">
        <v>1096.411428571429</v>
      </c>
    </row>
    <row r="21">
      <c r="B21" s="18" t="inlineStr">
        <is>
          <t>Awaiting Payment</t>
        </is>
      </c>
      <c r="C21" s="11" t="n">
        <v>6</v>
      </c>
      <c r="D21" s="12" t="n">
        <v>13395.99</v>
      </c>
      <c r="E21" s="13" t="n">
        <v>0.6357587512997802</v>
      </c>
      <c r="F21" s="12" t="n">
        <v>2232.665</v>
      </c>
    </row>
    <row r="22">
      <c r="B22" s="19" t="inlineStr">
        <is>
          <t>Past Due</t>
        </is>
      </c>
      <c r="C22" s="11" t="n">
        <v>0</v>
      </c>
      <c r="D22" s="12" t="n">
        <v>0</v>
      </c>
      <c r="E22" s="13" t="n">
        <v>0</v>
      </c>
      <c r="F22" s="12" t="n">
        <v>0</v>
      </c>
    </row>
    <row r="23">
      <c r="B23" s="20" t="inlineStr">
        <is>
          <t>Draft</t>
        </is>
      </c>
      <c r="C23" s="11" t="n">
        <v>0</v>
      </c>
      <c r="D23" s="12" t="n">
        <v>0</v>
      </c>
      <c r="E23" s="13" t="n">
        <v>0</v>
      </c>
      <c r="F23" s="12" t="n">
        <v>0</v>
      </c>
    </row>
    <row r="25">
      <c r="B25" s="21" t="inlineStr">
        <is>
          <t>Outstanding Balance:</t>
        </is>
      </c>
      <c r="D25" s="22" t="n">
        <v>13395.99</v>
      </c>
    </row>
    <row r="27">
      <c r="B27" s="9" t="inlineStr">
        <is>
          <t>ENHANCEMENT TYPE COMPARISON</t>
        </is>
      </c>
    </row>
    <row r="28">
      <c r="B28" s="10" t="inlineStr">
        <is>
          <t>Job Type</t>
        </is>
      </c>
      <c r="C28" s="10" t="inlineStr">
        <is>
          <t>Jobs</t>
        </is>
      </c>
      <c r="D28" s="10" t="inlineStr">
        <is>
          <t>Revenue</t>
        </is>
      </c>
      <c r="E28" s="10" t="inlineStr">
        <is>
          <t>Costs</t>
        </is>
      </c>
      <c r="F28" s="10" t="inlineStr">
        <is>
          <t>Profit</t>
        </is>
      </c>
      <c r="G28" s="10" t="inlineStr">
        <is>
          <t>Margin %</t>
        </is>
      </c>
      <c r="H28" s="10" t="inlineStr">
        <is>
          <t>Avg Value</t>
        </is>
      </c>
    </row>
    <row r="29">
      <c r="B29" s="23" t="inlineStr">
        <is>
          <t>Enhancement</t>
        </is>
      </c>
      <c r="C29" s="11" t="n">
        <v>29</v>
      </c>
      <c r="D29" s="12" t="n">
        <v>32765.75</v>
      </c>
      <c r="E29" s="12" t="n">
        <v>19796.73</v>
      </c>
      <c r="F29" s="12" t="n">
        <v>12969.02</v>
      </c>
      <c r="G29" s="13" t="n">
        <v>0.3958102591883293</v>
      </c>
      <c r="H29" s="12" t="n">
        <v>1129.853448275862</v>
      </c>
    </row>
    <row r="30">
      <c r="B30" s="24" t="inlineStr">
        <is>
          <t>Contracted Enhancement</t>
        </is>
      </c>
      <c r="C30" s="11" t="n">
        <v>1</v>
      </c>
      <c r="D30" s="12" t="n">
        <v>2640</v>
      </c>
      <c r="E30" s="12" t="n">
        <v>2200</v>
      </c>
      <c r="F30" s="12" t="n">
        <v>440</v>
      </c>
      <c r="G30" s="13" t="n">
        <v>0.1666666666666667</v>
      </c>
      <c r="H30" s="12" t="n">
        <v>2640</v>
      </c>
    </row>
    <row r="31">
      <c r="B31" s="14" t="inlineStr">
        <is>
          <t>TOTAL</t>
        </is>
      </c>
      <c r="C31" s="14" t="n">
        <v>30</v>
      </c>
      <c r="D31" s="15" t="n">
        <v>35405.75</v>
      </c>
      <c r="E31" s="15" t="n">
        <v>21996.73</v>
      </c>
      <c r="F31" s="15" t="n">
        <v>13409.02</v>
      </c>
      <c r="G31" s="16" t="n">
        <v>0.378724359743827</v>
      </c>
      <c r="H31" s="15" t="n">
        <v>1180.191666666667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8"/>
  <sheetViews>
    <sheetView workbookViewId="0">
      <selection activeCell="A1" sqref="A1"/>
    </sheetView>
  </sheetViews>
  <sheetFormatPr baseColWidth="8" defaultRowHeight="15"/>
  <cols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2">
      <c r="B2" s="1" t="inlineStr">
        <is>
          <t>WEEKLY PERFORMANCE - JANUARY 2026</t>
        </is>
      </c>
    </row>
    <row r="4">
      <c r="B4" s="10" t="inlineStr">
        <is>
          <t>Week Starting</t>
        </is>
      </c>
      <c r="C4" s="10" t="inlineStr">
        <is>
          <t>Enhancement</t>
        </is>
      </c>
      <c r="D4" s="10" t="inlineStr">
        <is>
          <t>Contracted</t>
        </is>
      </c>
      <c r="E4" s="10" t="inlineStr">
        <is>
          <t>Total Jobs</t>
        </is>
      </c>
      <c r="F4" s="10" t="inlineStr">
        <is>
          <t>Revenue</t>
        </is>
      </c>
      <c r="G4" s="10" t="inlineStr">
        <is>
          <t>Costs</t>
        </is>
      </c>
      <c r="H4" s="10" t="inlineStr">
        <is>
          <t>Profit</t>
        </is>
      </c>
      <c r="I4" s="10" t="inlineStr">
        <is>
          <t>Margin %</t>
        </is>
      </c>
      <c r="J4" s="10" t="inlineStr">
        <is>
          <t>Rev WoW %</t>
        </is>
      </c>
    </row>
    <row r="5">
      <c r="B5" s="11" t="inlineStr">
        <is>
          <t>2026-01-05</t>
        </is>
      </c>
      <c r="C5" s="23" t="n">
        <v>4</v>
      </c>
      <c r="D5" s="24" t="n">
        <v>1</v>
      </c>
      <c r="E5" s="11" t="n">
        <v>5</v>
      </c>
      <c r="F5" s="12" t="n">
        <v>9999.99</v>
      </c>
      <c r="G5" s="12" t="n">
        <v>5012.629999999999</v>
      </c>
      <c r="H5" s="25" t="n">
        <v>4987.360000000001</v>
      </c>
      <c r="I5" s="13" t="n">
        <v>0.4987364987364988</v>
      </c>
      <c r="J5" s="13" t="n"/>
    </row>
    <row r="6">
      <c r="B6" s="26" t="inlineStr">
        <is>
          <t>2026-01-12</t>
        </is>
      </c>
      <c r="C6" s="23" t="n">
        <v>6</v>
      </c>
      <c r="D6" s="24" t="n">
        <v>0</v>
      </c>
      <c r="E6" s="26" t="n">
        <v>6</v>
      </c>
      <c r="F6" s="27" t="n">
        <v>8092.88</v>
      </c>
      <c r="G6" s="27" t="n">
        <v>13370.41</v>
      </c>
      <c r="H6" s="28" t="n">
        <v>-5277.530000000001</v>
      </c>
      <c r="I6" s="29" t="n">
        <v>-0.65212013522998</v>
      </c>
      <c r="J6" s="29" t="n">
        <v>-0.1907111907111907</v>
      </c>
    </row>
    <row r="7">
      <c r="B7" s="11" t="inlineStr">
        <is>
          <t>2026-01-19</t>
        </is>
      </c>
      <c r="C7" s="23" t="n">
        <v>1</v>
      </c>
      <c r="D7" s="24" t="n">
        <v>0</v>
      </c>
      <c r="E7" s="11" t="n">
        <v>1</v>
      </c>
      <c r="F7" s="12" t="n">
        <v>0</v>
      </c>
      <c r="G7" s="12" t="n">
        <v>0</v>
      </c>
      <c r="H7" s="28" t="n">
        <v>0</v>
      </c>
      <c r="I7" s="13" t="n">
        <v>0</v>
      </c>
      <c r="J7" s="13" t="n">
        <v>-1</v>
      </c>
    </row>
    <row r="8">
      <c r="B8" s="26" t="inlineStr">
        <is>
          <t>2026-01-26</t>
        </is>
      </c>
      <c r="C8" s="23" t="n">
        <v>18</v>
      </c>
      <c r="D8" s="24" t="n">
        <v>0</v>
      </c>
      <c r="E8" s="26" t="n">
        <v>18</v>
      </c>
      <c r="F8" s="27" t="n">
        <v>17312.88</v>
      </c>
      <c r="G8" s="27" t="n">
        <v>3613.69</v>
      </c>
      <c r="H8" s="25" t="n">
        <v>13699.19</v>
      </c>
      <c r="I8" s="29" t="n">
        <v>0.7912715850857858</v>
      </c>
      <c r="J8" s="2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1"/>
  <sheetViews>
    <sheetView workbookViewId="0">
      <selection activeCell="A1" sqref="A1"/>
    </sheetView>
  </sheetViews>
  <sheetFormatPr baseColWidth="8" defaultRowHeight="15"/>
  <cols>
    <col width="18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2">
      <c r="B2" s="1" t="inlineStr">
        <is>
          <t>TEAM P&amp;L - JANUARY 2026</t>
        </is>
      </c>
    </row>
    <row r="4">
      <c r="B4" s="10" t="inlineStr">
        <is>
          <t>Team/Crew</t>
        </is>
      </c>
      <c r="C4" s="10" t="inlineStr">
        <is>
          <t>Jobs</t>
        </is>
      </c>
      <c r="D4" s="10" t="inlineStr">
        <is>
          <t>Revenue</t>
        </is>
      </c>
      <c r="E4" s="10" t="inlineStr">
        <is>
          <t>Labor Cost</t>
        </is>
      </c>
      <c r="F4" s="10" t="inlineStr">
        <is>
          <t>Total Cost</t>
        </is>
      </c>
      <c r="G4" s="10" t="inlineStr">
        <is>
          <t>Profit</t>
        </is>
      </c>
      <c r="H4" s="10" t="inlineStr">
        <is>
          <t>Margin %</t>
        </is>
      </c>
      <c r="I4" s="10" t="inlineStr">
        <is>
          <t>Avg Job Value</t>
        </is>
      </c>
    </row>
    <row r="5">
      <c r="B5" s="11" t="inlineStr">
        <is>
          <t>Enhancements</t>
        </is>
      </c>
      <c r="C5" s="11" t="n">
        <v>17</v>
      </c>
      <c r="D5" s="12" t="n">
        <v>19005.81</v>
      </c>
      <c r="E5" s="12" t="n">
        <v>3647.74</v>
      </c>
      <c r="F5" s="12" t="n">
        <v>8081.799999999999</v>
      </c>
      <c r="G5" s="25" t="n">
        <v>10924.01</v>
      </c>
      <c r="H5" s="13" t="n">
        <v>0.574772135468049</v>
      </c>
      <c r="I5" s="12" t="n">
        <v>1117.988823529412</v>
      </c>
    </row>
    <row r="6">
      <c r="B6" s="26" t="inlineStr">
        <is>
          <t>C1</t>
        </is>
      </c>
      <c r="C6" s="26" t="n">
        <v>8</v>
      </c>
      <c r="D6" s="27" t="n">
        <v>7167.440000000001</v>
      </c>
      <c r="E6" s="27" t="n">
        <v>0</v>
      </c>
      <c r="F6" s="27" t="n">
        <v>0</v>
      </c>
      <c r="G6" s="25" t="n">
        <v>7167.440000000001</v>
      </c>
      <c r="H6" s="29" t="n">
        <v>1</v>
      </c>
      <c r="I6" s="27" t="n">
        <v>895.9300000000001</v>
      </c>
    </row>
    <row r="7">
      <c r="B7" s="11" t="inlineStr">
        <is>
          <t>Agronomy, Patrick Patterson, and Enhancements</t>
        </is>
      </c>
      <c r="C7" s="11" t="n">
        <v>1</v>
      </c>
      <c r="D7" s="12" t="n">
        <v>4050</v>
      </c>
      <c r="E7" s="12" t="n">
        <v>2803.44</v>
      </c>
      <c r="F7" s="12" t="n">
        <v>10239.93</v>
      </c>
      <c r="G7" s="28" t="n">
        <v>-6189.93</v>
      </c>
      <c r="H7" s="13" t="n">
        <v>-1.528377777777778</v>
      </c>
      <c r="I7" s="12" t="n">
        <v>4050</v>
      </c>
    </row>
    <row r="8">
      <c r="B8" s="26" t="inlineStr">
        <is>
          <t>Sub Contractor</t>
        </is>
      </c>
      <c r="C8" s="26" t="n">
        <v>1</v>
      </c>
      <c r="D8" s="27" t="n">
        <v>2640</v>
      </c>
      <c r="E8" s="27" t="n">
        <v>0</v>
      </c>
      <c r="F8" s="27" t="n">
        <v>2200</v>
      </c>
      <c r="G8" s="25" t="n">
        <v>440</v>
      </c>
      <c r="H8" s="29" t="n">
        <v>0.1666666666666667</v>
      </c>
      <c r="I8" s="27" t="n">
        <v>2640</v>
      </c>
    </row>
    <row r="9">
      <c r="B9" s="11" t="inlineStr">
        <is>
          <t>Unassigned</t>
        </is>
      </c>
      <c r="C9" s="11" t="n">
        <v>1</v>
      </c>
      <c r="D9" s="12" t="n">
        <v>1917.5</v>
      </c>
      <c r="E9" s="12" t="n">
        <v>0</v>
      </c>
      <c r="F9" s="12" t="n">
        <v>1475</v>
      </c>
      <c r="G9" s="25" t="n">
        <v>442.5</v>
      </c>
      <c r="H9" s="13" t="n">
        <v>0.2307692307692308</v>
      </c>
      <c r="I9" s="12" t="n">
        <v>1917.5</v>
      </c>
    </row>
    <row r="10">
      <c r="B10" s="26" t="inlineStr">
        <is>
          <t>L1</t>
        </is>
      </c>
      <c r="C10" s="26" t="n">
        <v>1</v>
      </c>
      <c r="D10" s="27" t="n">
        <v>450</v>
      </c>
      <c r="E10" s="27" t="n">
        <v>0</v>
      </c>
      <c r="F10" s="27" t="n">
        <v>0</v>
      </c>
      <c r="G10" s="25" t="n">
        <v>450</v>
      </c>
      <c r="H10" s="29" t="n">
        <v>1</v>
      </c>
      <c r="I10" s="27" t="n">
        <v>450</v>
      </c>
    </row>
    <row r="11">
      <c r="B11" s="11" t="inlineStr">
        <is>
          <t>Brian Gopar</t>
        </is>
      </c>
      <c r="C11" s="11" t="n">
        <v>1</v>
      </c>
      <c r="D11" s="12" t="n">
        <v>175</v>
      </c>
      <c r="E11" s="12" t="n">
        <v>0</v>
      </c>
      <c r="F11" s="12" t="n">
        <v>0</v>
      </c>
      <c r="G11" s="25" t="n">
        <v>175</v>
      </c>
      <c r="H11" s="13" t="n">
        <v>1</v>
      </c>
      <c r="I11" s="12" t="n">
        <v>175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7"/>
  <sheetViews>
    <sheetView workbookViewId="0">
      <selection activeCell="A1" sqref="A1"/>
    </sheetView>
  </sheetViews>
  <sheetFormatPr baseColWidth="8" defaultRowHeight="15"/>
  <cols>
    <col width="20" customWidth="1" min="2" max="2"/>
    <col width="8" customWidth="1" min="3" max="3"/>
    <col width="14" customWidth="1" min="4" max="4"/>
    <col width="14" customWidth="1" min="5" max="5"/>
    <col width="12" customWidth="1" min="6" max="6"/>
    <col width="14" customWidth="1" min="7" max="7"/>
  </cols>
  <sheetData>
    <row r="2">
      <c r="B2" s="1" t="inlineStr">
        <is>
          <t>SALESPERSON PERFORMANCE - JANUARY 2026</t>
        </is>
      </c>
    </row>
    <row r="4">
      <c r="B4" s="10" t="inlineStr">
        <is>
          <t>Salesperson</t>
        </is>
      </c>
      <c r="C4" s="10" t="inlineStr">
        <is>
          <t>Jobs</t>
        </is>
      </c>
      <c r="D4" s="10" t="inlineStr">
        <is>
          <t>Revenue</t>
        </is>
      </c>
      <c r="E4" s="10" t="inlineStr">
        <is>
          <t>Profit</t>
        </is>
      </c>
      <c r="F4" s="10" t="inlineStr">
        <is>
          <t>Margin %</t>
        </is>
      </c>
      <c r="G4" s="10" t="inlineStr">
        <is>
          <t>Avg Job Value</t>
        </is>
      </c>
    </row>
    <row r="5">
      <c r="B5" s="11" t="inlineStr">
        <is>
          <t>Alex Martinez</t>
        </is>
      </c>
      <c r="C5" s="11" t="n">
        <v>25</v>
      </c>
      <c r="D5" s="12" t="n">
        <v>27927.75000000001</v>
      </c>
      <c r="E5" s="25" t="n">
        <v>19784.64000000001</v>
      </c>
      <c r="F5" s="13" t="n">
        <v>0.7084222681741279</v>
      </c>
      <c r="G5" s="12" t="n">
        <v>1117.11</v>
      </c>
    </row>
    <row r="6">
      <c r="B6" s="26" t="inlineStr">
        <is>
          <t>Unassigned</t>
        </is>
      </c>
      <c r="C6" s="26" t="n">
        <v>4</v>
      </c>
      <c r="D6" s="27" t="n">
        <v>7028</v>
      </c>
      <c r="E6" s="28" t="n">
        <v>-6825.62</v>
      </c>
      <c r="F6" s="29" t="n">
        <v>-0.9712037564029595</v>
      </c>
      <c r="G6" s="27" t="n">
        <v>1757</v>
      </c>
    </row>
    <row r="7">
      <c r="B7" s="11" t="inlineStr">
        <is>
          <t>Matthew Drumm</t>
        </is>
      </c>
      <c r="C7" s="11" t="n">
        <v>1</v>
      </c>
      <c r="D7" s="12" t="n">
        <v>450</v>
      </c>
      <c r="E7" s="25" t="n">
        <v>450</v>
      </c>
      <c r="F7" s="13" t="n">
        <v>1</v>
      </c>
      <c r="G7" s="12" t="n">
        <v>450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1"/>
  <sheetViews>
    <sheetView workbookViewId="0">
      <selection activeCell="A1" sqref="A1"/>
    </sheetView>
  </sheetViews>
  <sheetFormatPr baseColWidth="8" defaultRowHeight="15"/>
  <cols>
    <col width="25" customWidth="1" min="2" max="2"/>
    <col width="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</cols>
  <sheetData>
    <row r="2">
      <c r="B2" s="1" t="inlineStr">
        <is>
          <t>TOP CLIENTS - JANUARY 2026</t>
        </is>
      </c>
    </row>
    <row r="4">
      <c r="B4" s="10" t="inlineStr">
        <is>
          <t>Client</t>
        </is>
      </c>
      <c r="C4" s="10" t="inlineStr">
        <is>
          <t>Jobs</t>
        </is>
      </c>
      <c r="D4" s="10" t="inlineStr">
        <is>
          <t>Revenue</t>
        </is>
      </c>
      <c r="E4" s="10" t="inlineStr">
        <is>
          <t>Costs</t>
        </is>
      </c>
      <c r="F4" s="10" t="inlineStr">
        <is>
          <t>Profit</t>
        </is>
      </c>
      <c r="G4" s="10" t="inlineStr">
        <is>
          <t>Margin %</t>
        </is>
      </c>
      <c r="H4" s="10" t="inlineStr">
        <is>
          <t>Avg Job Value</t>
        </is>
      </c>
    </row>
    <row r="5">
      <c r="B5" s="11" t="inlineStr">
        <is>
          <t>Comcast Corporation</t>
        </is>
      </c>
      <c r="C5" s="11" t="n">
        <v>19</v>
      </c>
      <c r="D5" s="12" t="n">
        <v>20702.87</v>
      </c>
      <c r="E5" s="12" t="n">
        <v>2367.38</v>
      </c>
      <c r="F5" s="25" t="n">
        <v>18335.49000000001</v>
      </c>
      <c r="G5" s="13" t="n">
        <v>0.8856496707944359</v>
      </c>
      <c r="H5" s="12" t="n">
        <v>1089.624736842105</v>
      </c>
    </row>
    <row r="6">
      <c r="B6" s="26" t="inlineStr">
        <is>
          <t>Inter Atlanta FC</t>
        </is>
      </c>
      <c r="C6" s="26" t="n">
        <v>4</v>
      </c>
      <c r="D6" s="27" t="n">
        <v>7028</v>
      </c>
      <c r="E6" s="27" t="n">
        <v>13853.62</v>
      </c>
      <c r="F6" s="28" t="n">
        <v>-6825.62</v>
      </c>
      <c r="G6" s="29" t="n">
        <v>-0.9712037564029595</v>
      </c>
      <c r="H6" s="27" t="n">
        <v>1757</v>
      </c>
    </row>
    <row r="7">
      <c r="B7" s="11" t="inlineStr">
        <is>
          <t>Kim King Associates</t>
        </is>
      </c>
      <c r="C7" s="11" t="n">
        <v>2</v>
      </c>
      <c r="D7" s="12" t="n">
        <v>4557.5</v>
      </c>
      <c r="E7" s="12" t="n">
        <v>3675</v>
      </c>
      <c r="F7" s="25" t="n">
        <v>882.5</v>
      </c>
      <c r="G7" s="13" t="n">
        <v>0.1936368623148656</v>
      </c>
      <c r="H7" s="12" t="n">
        <v>2278.75</v>
      </c>
    </row>
    <row r="8">
      <c r="B8" s="26" t="inlineStr">
        <is>
          <t>Max Slater</t>
        </is>
      </c>
      <c r="C8" s="26" t="n">
        <v>2</v>
      </c>
      <c r="D8" s="27" t="n">
        <v>1943.13</v>
      </c>
      <c r="E8" s="27" t="n">
        <v>1448.31</v>
      </c>
      <c r="F8" s="25" t="n">
        <v>494.8200000000001</v>
      </c>
      <c r="G8" s="29" t="n">
        <v>0.2546510012196816</v>
      </c>
      <c r="H8" s="27" t="n">
        <v>971.5650000000001</v>
      </c>
    </row>
    <row r="9">
      <c r="B9" s="11" t="inlineStr">
        <is>
          <t>Greg Reihing</t>
        </is>
      </c>
      <c r="C9" s="11" t="n">
        <v>1</v>
      </c>
      <c r="D9" s="12" t="n">
        <v>549.25</v>
      </c>
      <c r="E9" s="12" t="n">
        <v>652.42</v>
      </c>
      <c r="F9" s="28" t="n">
        <v>-103.17</v>
      </c>
      <c r="G9" s="13" t="n">
        <v>-0.1878379608557122</v>
      </c>
      <c r="H9" s="12" t="n">
        <v>549.25</v>
      </c>
    </row>
    <row r="10">
      <c r="B10" s="26" t="inlineStr">
        <is>
          <t>Mary Smith</t>
        </is>
      </c>
      <c r="C10" s="26" t="n">
        <v>1</v>
      </c>
      <c r="D10" s="27" t="n">
        <v>450</v>
      </c>
      <c r="E10" s="27" t="n">
        <v>0</v>
      </c>
      <c r="F10" s="25" t="n">
        <v>450</v>
      </c>
      <c r="G10" s="29" t="n">
        <v>1</v>
      </c>
      <c r="H10" s="27" t="n">
        <v>450</v>
      </c>
    </row>
    <row r="11">
      <c r="B11" s="11" t="inlineStr">
        <is>
          <t>Reagan Burford</t>
        </is>
      </c>
      <c r="C11" s="11" t="n">
        <v>1</v>
      </c>
      <c r="D11" s="12" t="n">
        <v>175</v>
      </c>
      <c r="E11" s="12" t="n">
        <v>0</v>
      </c>
      <c r="F11" s="25" t="n">
        <v>175</v>
      </c>
      <c r="G11" s="13" t="n">
        <v>1</v>
      </c>
      <c r="H11" s="12" t="n">
        <v>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10" customWidth="1" min="4" max="4"/>
    <col width="14" customWidth="1" min="5" max="5"/>
    <col width="14" customWidth="1" min="6" max="6"/>
    <col width="16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0" t="inlineStr">
        <is>
          <t>Job #</t>
        </is>
      </c>
      <c r="B1" s="10" t="inlineStr">
        <is>
          <t>Client</t>
        </is>
      </c>
      <c r="C1" s="10" t="inlineStr">
        <is>
          <t>Type</t>
        </is>
      </c>
      <c r="D1" s="10" t="inlineStr">
        <is>
          <t>Status</t>
        </is>
      </c>
      <c r="E1" s="10" t="inlineStr">
        <is>
          <t>Start Date</t>
        </is>
      </c>
      <c r="F1" s="10" t="inlineStr">
        <is>
          <t>Closed Date</t>
        </is>
      </c>
      <c r="G1" s="10" t="inlineStr">
        <is>
          <t>Salesperson</t>
        </is>
      </c>
      <c r="H1" s="10" t="inlineStr">
        <is>
          <t>Team</t>
        </is>
      </c>
      <c r="I1" s="10" t="inlineStr">
        <is>
          <t>Revenue</t>
        </is>
      </c>
      <c r="J1" s="10" t="inlineStr">
        <is>
          <t>Labor Cost</t>
        </is>
      </c>
      <c r="K1" s="10" t="inlineStr">
        <is>
          <t>Expenses</t>
        </is>
      </c>
      <c r="L1" s="10" t="inlineStr">
        <is>
          <t>Total Cost</t>
        </is>
      </c>
      <c r="M1" s="10" t="inlineStr">
        <is>
          <t>Profit</t>
        </is>
      </c>
      <c r="N1" s="10" t="inlineStr">
        <is>
          <t>Profit %</t>
        </is>
      </c>
    </row>
    <row r="2">
      <c r="A2" s="26" t="inlineStr">
        <is>
          <t>11652</t>
        </is>
      </c>
      <c r="B2" s="26" t="inlineStr">
        <is>
          <t>Comcast Corporation</t>
        </is>
      </c>
      <c r="C2" s="23" t="inlineStr">
        <is>
          <t>Enhancement</t>
        </is>
      </c>
      <c r="D2" s="26" t="inlineStr">
        <is>
          <t>closed</t>
        </is>
      </c>
      <c r="E2" s="26" t="inlineStr">
        <is>
          <t>Jan 31, 2026</t>
        </is>
      </c>
      <c r="F2" s="26" t="inlineStr">
        <is>
          <t>Jan 31, 2026</t>
        </is>
      </c>
      <c r="G2" s="26" t="inlineStr">
        <is>
          <t>Alex Martinez</t>
        </is>
      </c>
      <c r="H2" s="26" t="inlineStr">
        <is>
          <t>Enhancements</t>
        </is>
      </c>
      <c r="I2" s="27" t="n">
        <v>895.9299999999999</v>
      </c>
      <c r="J2" s="27" t="n">
        <v>0</v>
      </c>
      <c r="K2" s="27" t="n">
        <v>0</v>
      </c>
      <c r="L2" s="27" t="n">
        <v>0</v>
      </c>
      <c r="M2" s="27" t="n">
        <v>895.9299999999999</v>
      </c>
      <c r="N2" s="29" t="n">
        <v>1</v>
      </c>
    </row>
    <row r="3">
      <c r="A3" s="11" t="inlineStr">
        <is>
          <t>11651</t>
        </is>
      </c>
      <c r="B3" s="11" t="inlineStr">
        <is>
          <t>Comcast Corporation</t>
        </is>
      </c>
      <c r="C3" s="23" t="inlineStr">
        <is>
          <t>Enhancement</t>
        </is>
      </c>
      <c r="D3" s="11" t="inlineStr">
        <is>
          <t>closed</t>
        </is>
      </c>
      <c r="E3" s="11" t="inlineStr">
        <is>
          <t>Jan 31, 2026</t>
        </is>
      </c>
      <c r="F3" s="11" t="inlineStr">
        <is>
          <t>Jan 31, 2026</t>
        </is>
      </c>
      <c r="G3" s="11" t="inlineStr">
        <is>
          <t>Alex Martinez</t>
        </is>
      </c>
      <c r="H3" s="11" t="inlineStr">
        <is>
          <t>Enhancements</t>
        </is>
      </c>
      <c r="I3" s="12" t="n">
        <v>895.9299999999999</v>
      </c>
      <c r="J3" s="12" t="n">
        <v>0</v>
      </c>
      <c r="K3" s="12" t="n">
        <v>0</v>
      </c>
      <c r="L3" s="12" t="n">
        <v>0</v>
      </c>
      <c r="M3" s="12" t="n">
        <v>895.9299999999999</v>
      </c>
      <c r="N3" s="13" t="n">
        <v>1</v>
      </c>
    </row>
    <row r="4">
      <c r="A4" s="26" t="inlineStr">
        <is>
          <t>11650</t>
        </is>
      </c>
      <c r="B4" s="26" t="inlineStr">
        <is>
          <t>Comcast Corporation</t>
        </is>
      </c>
      <c r="C4" s="23" t="inlineStr">
        <is>
          <t>Enhancement</t>
        </is>
      </c>
      <c r="D4" s="26" t="inlineStr">
        <is>
          <t>closed</t>
        </is>
      </c>
      <c r="E4" s="26" t="inlineStr">
        <is>
          <t>Jan 31, 2026</t>
        </is>
      </c>
      <c r="F4" s="26" t="inlineStr">
        <is>
          <t>Jan 31, 2026</t>
        </is>
      </c>
      <c r="G4" s="26" t="inlineStr">
        <is>
          <t>Alex Martinez</t>
        </is>
      </c>
      <c r="H4" s="26" t="inlineStr">
        <is>
          <t>Enhancements</t>
        </is>
      </c>
      <c r="I4" s="27" t="n">
        <v>895.9299999999999</v>
      </c>
      <c r="J4" s="27" t="n">
        <v>0</v>
      </c>
      <c r="K4" s="27" t="n">
        <v>0</v>
      </c>
      <c r="L4" s="27" t="n">
        <v>0</v>
      </c>
      <c r="M4" s="27" t="n">
        <v>895.9299999999999</v>
      </c>
      <c r="N4" s="29" t="n">
        <v>1</v>
      </c>
    </row>
    <row r="5">
      <c r="A5" s="11" t="inlineStr">
        <is>
          <t>11649</t>
        </is>
      </c>
      <c r="B5" s="11" t="inlineStr">
        <is>
          <t>Comcast Corporation</t>
        </is>
      </c>
      <c r="C5" s="23" t="inlineStr">
        <is>
          <t>Enhancement</t>
        </is>
      </c>
      <c r="D5" s="11" t="inlineStr">
        <is>
          <t>closed</t>
        </is>
      </c>
      <c r="E5" s="11" t="inlineStr">
        <is>
          <t>Jan 31, 2026</t>
        </is>
      </c>
      <c r="F5" s="11" t="inlineStr">
        <is>
          <t>Jan 31, 2026</t>
        </is>
      </c>
      <c r="G5" s="11" t="inlineStr">
        <is>
          <t>Alex Martinez</t>
        </is>
      </c>
      <c r="H5" s="11" t="inlineStr">
        <is>
          <t>C1</t>
        </is>
      </c>
      <c r="I5" s="12" t="n">
        <v>895.9299999999999</v>
      </c>
      <c r="J5" s="12" t="n">
        <v>0</v>
      </c>
      <c r="K5" s="12" t="n">
        <v>0</v>
      </c>
      <c r="L5" s="12" t="n">
        <v>0</v>
      </c>
      <c r="M5" s="12" t="n">
        <v>895.9299999999999</v>
      </c>
      <c r="N5" s="13" t="n">
        <v>1</v>
      </c>
    </row>
    <row r="6">
      <c r="A6" s="26" t="inlineStr">
        <is>
          <t>11648</t>
        </is>
      </c>
      <c r="B6" s="26" t="inlineStr">
        <is>
          <t>Comcast Corporation</t>
        </is>
      </c>
      <c r="C6" s="23" t="inlineStr">
        <is>
          <t>Enhancement</t>
        </is>
      </c>
      <c r="D6" s="26" t="inlineStr">
        <is>
          <t>closed</t>
        </is>
      </c>
      <c r="E6" s="26" t="inlineStr">
        <is>
          <t>Jan 31, 2026</t>
        </is>
      </c>
      <c r="F6" s="26" t="inlineStr">
        <is>
          <t>Jan 31, 2026</t>
        </is>
      </c>
      <c r="G6" s="26" t="inlineStr">
        <is>
          <t>Alex Martinez</t>
        </is>
      </c>
      <c r="H6" s="26" t="inlineStr">
        <is>
          <t>Enhancements</t>
        </is>
      </c>
      <c r="I6" s="27" t="n">
        <v>895.9299999999999</v>
      </c>
      <c r="J6" s="27" t="n">
        <v>0</v>
      </c>
      <c r="K6" s="27" t="n">
        <v>0</v>
      </c>
      <c r="L6" s="27" t="n">
        <v>0</v>
      </c>
      <c r="M6" s="27" t="n">
        <v>895.9299999999999</v>
      </c>
      <c r="N6" s="29" t="n">
        <v>1</v>
      </c>
    </row>
    <row r="7">
      <c r="A7" s="11" t="inlineStr">
        <is>
          <t>11647</t>
        </is>
      </c>
      <c r="B7" s="11" t="inlineStr">
        <is>
          <t>Comcast Corporation</t>
        </is>
      </c>
      <c r="C7" s="23" t="inlineStr">
        <is>
          <t>Enhancement</t>
        </is>
      </c>
      <c r="D7" s="11" t="inlineStr">
        <is>
          <t>closed</t>
        </is>
      </c>
      <c r="E7" s="11" t="inlineStr">
        <is>
          <t>Jan 31, 2026</t>
        </is>
      </c>
      <c r="F7" s="11" t="inlineStr">
        <is>
          <t>Jan 31, 2026</t>
        </is>
      </c>
      <c r="G7" s="11" t="inlineStr">
        <is>
          <t>Alex Martinez</t>
        </is>
      </c>
      <c r="H7" s="11" t="inlineStr">
        <is>
          <t>Enhancements</t>
        </is>
      </c>
      <c r="I7" s="12" t="n">
        <v>895.9299999999999</v>
      </c>
      <c r="J7" s="12" t="n">
        <v>0</v>
      </c>
      <c r="K7" s="12" t="n">
        <v>0</v>
      </c>
      <c r="L7" s="12" t="n">
        <v>0</v>
      </c>
      <c r="M7" s="12" t="n">
        <v>895.9299999999999</v>
      </c>
      <c r="N7" s="13" t="n">
        <v>1</v>
      </c>
    </row>
    <row r="8">
      <c r="A8" s="26" t="inlineStr">
        <is>
          <t>11646</t>
        </is>
      </c>
      <c r="B8" s="26" t="inlineStr">
        <is>
          <t>Comcast Corporation</t>
        </is>
      </c>
      <c r="C8" s="23" t="inlineStr">
        <is>
          <t>Enhancement</t>
        </is>
      </c>
      <c r="D8" s="26" t="inlineStr">
        <is>
          <t>closed</t>
        </is>
      </c>
      <c r="E8" s="26" t="inlineStr">
        <is>
          <t>Jan 31, 2026</t>
        </is>
      </c>
      <c r="F8" s="26" t="inlineStr">
        <is>
          <t>Jan 31, 2026</t>
        </is>
      </c>
      <c r="G8" s="26" t="inlineStr">
        <is>
          <t>Alex Martinez</t>
        </is>
      </c>
      <c r="H8" s="26" t="inlineStr">
        <is>
          <t>Enhancements</t>
        </is>
      </c>
      <c r="I8" s="27" t="n">
        <v>895.9299999999999</v>
      </c>
      <c r="J8" s="27" t="n">
        <v>0</v>
      </c>
      <c r="K8" s="27" t="n">
        <v>0</v>
      </c>
      <c r="L8" s="27" t="n">
        <v>0</v>
      </c>
      <c r="M8" s="27" t="n">
        <v>895.9299999999999</v>
      </c>
      <c r="N8" s="29" t="n">
        <v>1</v>
      </c>
    </row>
    <row r="9">
      <c r="A9" s="11" t="inlineStr">
        <is>
          <t>11645</t>
        </is>
      </c>
      <c r="B9" s="11" t="inlineStr">
        <is>
          <t>Comcast Corporation</t>
        </is>
      </c>
      <c r="C9" s="23" t="inlineStr">
        <is>
          <t>Enhancement</t>
        </is>
      </c>
      <c r="D9" s="11" t="inlineStr">
        <is>
          <t>closed</t>
        </is>
      </c>
      <c r="E9" s="11" t="inlineStr">
        <is>
          <t>Jan 31, 2026</t>
        </is>
      </c>
      <c r="F9" s="11" t="inlineStr">
        <is>
          <t>Jan 31, 2026</t>
        </is>
      </c>
      <c r="G9" s="11" t="inlineStr">
        <is>
          <t>Alex Martinez</t>
        </is>
      </c>
      <c r="H9" s="11" t="inlineStr">
        <is>
          <t>Enhancements</t>
        </is>
      </c>
      <c r="I9" s="12" t="n">
        <v>895.9299999999999</v>
      </c>
      <c r="J9" s="12" t="n">
        <v>0</v>
      </c>
      <c r="K9" s="12" t="n">
        <v>0</v>
      </c>
      <c r="L9" s="12" t="n">
        <v>0</v>
      </c>
      <c r="M9" s="12" t="n">
        <v>895.9299999999999</v>
      </c>
      <c r="N9" s="13" t="n">
        <v>1</v>
      </c>
    </row>
    <row r="10">
      <c r="A10" s="26" t="inlineStr">
        <is>
          <t>11644</t>
        </is>
      </c>
      <c r="B10" s="26" t="inlineStr">
        <is>
          <t>Comcast Corporation</t>
        </is>
      </c>
      <c r="C10" s="23" t="inlineStr">
        <is>
          <t>Enhancement</t>
        </is>
      </c>
      <c r="D10" s="26" t="inlineStr">
        <is>
          <t>closed</t>
        </is>
      </c>
      <c r="E10" s="26" t="inlineStr">
        <is>
          <t>Jan 31, 2026</t>
        </is>
      </c>
      <c r="F10" s="26" t="inlineStr">
        <is>
          <t>-</t>
        </is>
      </c>
      <c r="G10" s="26" t="inlineStr">
        <is>
          <t>Alex Martinez</t>
        </is>
      </c>
      <c r="H10" s="26" t="inlineStr">
        <is>
          <t>C1</t>
        </is>
      </c>
      <c r="I10" s="27" t="n">
        <v>895.9299999999999</v>
      </c>
      <c r="J10" s="27" t="n">
        <v>0</v>
      </c>
      <c r="K10" s="27" t="n">
        <v>0</v>
      </c>
      <c r="L10" s="27" t="n">
        <v>0</v>
      </c>
      <c r="M10" s="27" t="n">
        <v>895.9299999999999</v>
      </c>
      <c r="N10" s="29" t="n">
        <v>1</v>
      </c>
    </row>
    <row r="11">
      <c r="A11" s="11" t="inlineStr">
        <is>
          <t>11643</t>
        </is>
      </c>
      <c r="B11" s="11" t="inlineStr">
        <is>
          <t>Comcast Corporation</t>
        </is>
      </c>
      <c r="C11" s="23" t="inlineStr">
        <is>
          <t>Enhancement</t>
        </is>
      </c>
      <c r="D11" s="11" t="inlineStr">
        <is>
          <t>closed</t>
        </is>
      </c>
      <c r="E11" s="11" t="inlineStr">
        <is>
          <t>Jan 31, 2026</t>
        </is>
      </c>
      <c r="F11" s="11" t="inlineStr">
        <is>
          <t>Jan 31, 2026</t>
        </is>
      </c>
      <c r="G11" s="11" t="inlineStr">
        <is>
          <t>Alex Martinez</t>
        </is>
      </c>
      <c r="H11" s="11" t="inlineStr">
        <is>
          <t>C1</t>
        </is>
      </c>
      <c r="I11" s="12" t="n">
        <v>895.9299999999999</v>
      </c>
      <c r="J11" s="12" t="n">
        <v>0</v>
      </c>
      <c r="K11" s="12" t="n">
        <v>0</v>
      </c>
      <c r="L11" s="12" t="n">
        <v>0</v>
      </c>
      <c r="M11" s="12" t="n">
        <v>895.9299999999999</v>
      </c>
      <c r="N11" s="13" t="n">
        <v>1</v>
      </c>
    </row>
    <row r="12">
      <c r="A12" s="26" t="inlineStr">
        <is>
          <t>11642</t>
        </is>
      </c>
      <c r="B12" s="26" t="inlineStr">
        <is>
          <t>Comcast Corporation</t>
        </is>
      </c>
      <c r="C12" s="23" t="inlineStr">
        <is>
          <t>Enhancement</t>
        </is>
      </c>
      <c r="D12" s="26" t="inlineStr">
        <is>
          <t>closed</t>
        </is>
      </c>
      <c r="E12" s="26" t="inlineStr">
        <is>
          <t>Jan 31, 2026</t>
        </is>
      </c>
      <c r="F12" s="26" t="inlineStr">
        <is>
          <t>Jan 31, 2026</t>
        </is>
      </c>
      <c r="G12" s="26" t="inlineStr">
        <is>
          <t>Alex Martinez</t>
        </is>
      </c>
      <c r="H12" s="26" t="inlineStr">
        <is>
          <t>C1</t>
        </is>
      </c>
      <c r="I12" s="27" t="n">
        <v>895.9299999999999</v>
      </c>
      <c r="J12" s="27" t="n">
        <v>0</v>
      </c>
      <c r="K12" s="27" t="n">
        <v>0</v>
      </c>
      <c r="L12" s="27" t="n">
        <v>0</v>
      </c>
      <c r="M12" s="27" t="n">
        <v>895.9299999999999</v>
      </c>
      <c r="N12" s="29" t="n">
        <v>1</v>
      </c>
    </row>
    <row r="13">
      <c r="A13" s="11" t="inlineStr">
        <is>
          <t>11641</t>
        </is>
      </c>
      <c r="B13" s="11" t="inlineStr">
        <is>
          <t>Comcast Corporation</t>
        </is>
      </c>
      <c r="C13" s="23" t="inlineStr">
        <is>
          <t>Enhancement</t>
        </is>
      </c>
      <c r="D13" s="11" t="inlineStr">
        <is>
          <t>closed</t>
        </is>
      </c>
      <c r="E13" s="11" t="inlineStr">
        <is>
          <t>Jan 31, 2026</t>
        </is>
      </c>
      <c r="F13" s="11" t="inlineStr">
        <is>
          <t>Jan 31, 2026</t>
        </is>
      </c>
      <c r="G13" s="11" t="inlineStr">
        <is>
          <t>Alex Martinez</t>
        </is>
      </c>
      <c r="H13" s="11" t="inlineStr">
        <is>
          <t>C1</t>
        </is>
      </c>
      <c r="I13" s="12" t="n">
        <v>895.9299999999999</v>
      </c>
      <c r="J13" s="12" t="n">
        <v>0</v>
      </c>
      <c r="K13" s="12" t="n">
        <v>0</v>
      </c>
      <c r="L13" s="12" t="n">
        <v>0</v>
      </c>
      <c r="M13" s="12" t="n">
        <v>895.9299999999999</v>
      </c>
      <c r="N13" s="13" t="n">
        <v>1</v>
      </c>
    </row>
    <row r="14">
      <c r="A14" s="26" t="inlineStr">
        <is>
          <t>11640</t>
        </is>
      </c>
      <c r="B14" s="26" t="inlineStr">
        <is>
          <t>Comcast Corporation</t>
        </is>
      </c>
      <c r="C14" s="23" t="inlineStr">
        <is>
          <t>Enhancement</t>
        </is>
      </c>
      <c r="D14" s="26" t="inlineStr">
        <is>
          <t>closed</t>
        </is>
      </c>
      <c r="E14" s="26" t="inlineStr">
        <is>
          <t>Jan 31, 2026</t>
        </is>
      </c>
      <c r="F14" s="26" t="inlineStr">
        <is>
          <t>Jan 31, 2026</t>
        </is>
      </c>
      <c r="G14" s="26" t="inlineStr">
        <is>
          <t>Alex Martinez</t>
        </is>
      </c>
      <c r="H14" s="26" t="inlineStr">
        <is>
          <t>Enhancements</t>
        </is>
      </c>
      <c r="I14" s="27" t="n">
        <v>895.9299999999999</v>
      </c>
      <c r="J14" s="27" t="n">
        <v>0</v>
      </c>
      <c r="K14" s="27" t="n">
        <v>0</v>
      </c>
      <c r="L14" s="27" t="n">
        <v>0</v>
      </c>
      <c r="M14" s="27" t="n">
        <v>895.9299999999999</v>
      </c>
      <c r="N14" s="29" t="n">
        <v>1</v>
      </c>
    </row>
    <row r="15">
      <c r="A15" s="11" t="inlineStr">
        <is>
          <t>11639</t>
        </is>
      </c>
      <c r="B15" s="11" t="inlineStr">
        <is>
          <t>Comcast Corporation</t>
        </is>
      </c>
      <c r="C15" s="23" t="inlineStr">
        <is>
          <t>Enhancement</t>
        </is>
      </c>
      <c r="D15" s="11" t="inlineStr">
        <is>
          <t>closed</t>
        </is>
      </c>
      <c r="E15" s="11" t="inlineStr">
        <is>
          <t>Jan 31, 2026</t>
        </is>
      </c>
      <c r="F15" s="11" t="inlineStr">
        <is>
          <t>Jan 31, 2026</t>
        </is>
      </c>
      <c r="G15" s="11" t="inlineStr">
        <is>
          <t>Alex Martinez</t>
        </is>
      </c>
      <c r="H15" s="11" t="inlineStr">
        <is>
          <t>C1</t>
        </is>
      </c>
      <c r="I15" s="12" t="n">
        <v>895.9299999999999</v>
      </c>
      <c r="J15" s="12" t="n">
        <v>0</v>
      </c>
      <c r="K15" s="12" t="n">
        <v>0</v>
      </c>
      <c r="L15" s="12" t="n">
        <v>0</v>
      </c>
      <c r="M15" s="12" t="n">
        <v>895.9299999999999</v>
      </c>
      <c r="N15" s="13" t="n">
        <v>1</v>
      </c>
    </row>
    <row r="16">
      <c r="A16" s="26" t="inlineStr">
        <is>
          <t>11638</t>
        </is>
      </c>
      <c r="B16" s="26" t="inlineStr">
        <is>
          <t>Comcast Corporation</t>
        </is>
      </c>
      <c r="C16" s="23" t="inlineStr">
        <is>
          <t>Enhancement</t>
        </is>
      </c>
      <c r="D16" s="26" t="inlineStr">
        <is>
          <t>closed</t>
        </is>
      </c>
      <c r="E16" s="26" t="inlineStr">
        <is>
          <t>Jan 31, 2026</t>
        </is>
      </c>
      <c r="F16" s="26" t="inlineStr">
        <is>
          <t>Jan 31, 2026</t>
        </is>
      </c>
      <c r="G16" s="26" t="inlineStr">
        <is>
          <t>Alex Martinez</t>
        </is>
      </c>
      <c r="H16" s="26" t="inlineStr">
        <is>
          <t>C1</t>
        </is>
      </c>
      <c r="I16" s="27" t="n">
        <v>895.9299999999999</v>
      </c>
      <c r="J16" s="27" t="n">
        <v>0</v>
      </c>
      <c r="K16" s="27" t="n">
        <v>0</v>
      </c>
      <c r="L16" s="27" t="n">
        <v>0</v>
      </c>
      <c r="M16" s="27" t="n">
        <v>895.9299999999999</v>
      </c>
      <c r="N16" s="29" t="n">
        <v>1</v>
      </c>
    </row>
    <row r="17">
      <c r="A17" s="11" t="inlineStr">
        <is>
          <t>11637</t>
        </is>
      </c>
      <c r="B17" s="11" t="inlineStr">
        <is>
          <t>Comcast Corporation</t>
        </is>
      </c>
      <c r="C17" s="23" t="inlineStr">
        <is>
          <t>Enhancement</t>
        </is>
      </c>
      <c r="D17" s="11" t="inlineStr">
        <is>
          <t>closed</t>
        </is>
      </c>
      <c r="E17" s="11" t="inlineStr">
        <is>
          <t>Jan 31, 2026</t>
        </is>
      </c>
      <c r="F17" s="11" t="inlineStr">
        <is>
          <t>Jan 31, 2026</t>
        </is>
      </c>
      <c r="G17" s="11" t="inlineStr">
        <is>
          <t>Alex Martinez</t>
        </is>
      </c>
      <c r="H17" s="11" t="inlineStr">
        <is>
          <t>C1</t>
        </is>
      </c>
      <c r="I17" s="12" t="n">
        <v>895.9299999999999</v>
      </c>
      <c r="J17" s="12" t="n">
        <v>0</v>
      </c>
      <c r="K17" s="12" t="n">
        <v>0</v>
      </c>
      <c r="L17" s="12" t="n">
        <v>0</v>
      </c>
      <c r="M17" s="12" t="n">
        <v>895.9299999999999</v>
      </c>
      <c r="N17" s="13" t="n">
        <v>1</v>
      </c>
    </row>
    <row r="18">
      <c r="A18" s="26" t="inlineStr">
        <is>
          <t>11578</t>
        </is>
      </c>
      <c r="B18" s="26" t="inlineStr">
        <is>
          <t>Inter Atlanta FC</t>
        </is>
      </c>
      <c r="C18" s="23" t="inlineStr">
        <is>
          <t>Enhancement</t>
        </is>
      </c>
      <c r="D18" s="26" t="inlineStr">
        <is>
          <t>closed</t>
        </is>
      </c>
      <c r="E18" s="26" t="inlineStr">
        <is>
          <t>Jan 27, 2026</t>
        </is>
      </c>
      <c r="F18" s="26" t="inlineStr">
        <is>
          <t>-</t>
        </is>
      </c>
      <c r="G18" s="26" t="inlineStr"/>
      <c r="H18" s="26" t="inlineStr">
        <is>
          <t>Enhancements</t>
        </is>
      </c>
      <c r="I18" s="27" t="n">
        <v>482</v>
      </c>
      <c r="J18" s="27" t="n">
        <v>92.56999999999999</v>
      </c>
      <c r="K18" s="27" t="n">
        <v>433.5</v>
      </c>
      <c r="L18" s="27" t="n">
        <v>526.0700000000001</v>
      </c>
      <c r="M18" s="27" t="n">
        <v>-44.07000000000005</v>
      </c>
      <c r="N18" s="29" t="n">
        <v>-0.09143153526970965</v>
      </c>
    </row>
    <row r="19">
      <c r="A19" s="11" t="inlineStr">
        <is>
          <t>11577</t>
        </is>
      </c>
      <c r="B19" s="11" t="inlineStr">
        <is>
          <t>Inter Atlanta FC</t>
        </is>
      </c>
      <c r="C19" s="23" t="inlineStr">
        <is>
          <t>Enhancement</t>
        </is>
      </c>
      <c r="D19" s="11" t="inlineStr">
        <is>
          <t>closed</t>
        </is>
      </c>
      <c r="E19" s="11" t="inlineStr">
        <is>
          <t>Jan 26, 2026</t>
        </is>
      </c>
      <c r="F19" s="11" t="inlineStr">
        <is>
          <t>Jan 30, 2026</t>
        </is>
      </c>
      <c r="G19" s="11" t="inlineStr"/>
      <c r="H19" s="11" t="inlineStr">
        <is>
          <t>Enhancements</t>
        </is>
      </c>
      <c r="I19" s="12" t="n">
        <v>2496</v>
      </c>
      <c r="J19" s="12" t="n">
        <v>846.62</v>
      </c>
      <c r="K19" s="12" t="n">
        <v>2241</v>
      </c>
      <c r="L19" s="12" t="n">
        <v>3087.62</v>
      </c>
      <c r="M19" s="12" t="n">
        <v>-591.6199999999999</v>
      </c>
      <c r="N19" s="13" t="n">
        <v>-0.2370272435897436</v>
      </c>
    </row>
    <row r="20">
      <c r="A20" s="26" t="inlineStr">
        <is>
          <t>11556</t>
        </is>
      </c>
      <c r="B20" s="26" t="inlineStr">
        <is>
          <t>Inter Atlanta FC</t>
        </is>
      </c>
      <c r="C20" s="23" t="inlineStr">
        <is>
          <t>Enhancement</t>
        </is>
      </c>
      <c r="D20" s="26" t="inlineStr">
        <is>
          <t>closed</t>
        </is>
      </c>
      <c r="E20" s="26" t="inlineStr">
        <is>
          <t>Jan 19, 2026</t>
        </is>
      </c>
      <c r="F20" s="26" t="inlineStr">
        <is>
          <t>Jan 23, 2026</t>
        </is>
      </c>
      <c r="G20" s="26" t="inlineStr"/>
      <c r="H20" s="26" t="inlineStr">
        <is>
          <t>Enhancements</t>
        </is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9" t="n">
        <v>0</v>
      </c>
    </row>
    <row r="21">
      <c r="A21" s="11" t="inlineStr">
        <is>
          <t>11528</t>
        </is>
      </c>
      <c r="B21" s="11" t="inlineStr">
        <is>
          <t>Kim King Associates</t>
        </is>
      </c>
      <c r="C21" s="23" t="inlineStr">
        <is>
          <t>Enhancement</t>
        </is>
      </c>
      <c r="D21" s="11" t="inlineStr">
        <is>
          <t>closed</t>
        </is>
      </c>
      <c r="E21" s="11" t="inlineStr">
        <is>
          <t>Jan 16, 2026</t>
        </is>
      </c>
      <c r="F21" s="11" t="inlineStr">
        <is>
          <t>Jan 19, 2026</t>
        </is>
      </c>
      <c r="G21" s="11" t="inlineStr">
        <is>
          <t>Alex Martinez</t>
        </is>
      </c>
      <c r="H21" s="11" t="inlineStr"/>
      <c r="I21" s="12" t="n">
        <v>1917.5</v>
      </c>
      <c r="J21" s="12" t="n">
        <v>0</v>
      </c>
      <c r="K21" s="12" t="n">
        <v>1475</v>
      </c>
      <c r="L21" s="12" t="n">
        <v>1475</v>
      </c>
      <c r="M21" s="12" t="n">
        <v>442.5</v>
      </c>
      <c r="N21" s="13" t="n">
        <v>0.2307692307692308</v>
      </c>
    </row>
    <row r="22">
      <c r="A22" s="26" t="inlineStr">
        <is>
          <t>11521</t>
        </is>
      </c>
      <c r="B22" s="26" t="inlineStr">
        <is>
          <t>Mary Smith</t>
        </is>
      </c>
      <c r="C22" s="23" t="inlineStr">
        <is>
          <t>Enhancement</t>
        </is>
      </c>
      <c r="D22" s="26" t="inlineStr">
        <is>
          <t>closed</t>
        </is>
      </c>
      <c r="E22" s="26" t="inlineStr">
        <is>
          <t>Jan 15, 2026</t>
        </is>
      </c>
      <c r="F22" s="26" t="inlineStr">
        <is>
          <t>Jan 15, 2026</t>
        </is>
      </c>
      <c r="G22" s="26" t="inlineStr">
        <is>
          <t>Matthew Drumm</t>
        </is>
      </c>
      <c r="H22" s="26" t="inlineStr">
        <is>
          <t>L1</t>
        </is>
      </c>
      <c r="I22" s="27" t="n">
        <v>450</v>
      </c>
      <c r="J22" s="27" t="n">
        <v>0</v>
      </c>
      <c r="K22" s="27" t="n">
        <v>0</v>
      </c>
      <c r="L22" s="27" t="n">
        <v>0</v>
      </c>
      <c r="M22" s="27" t="n">
        <v>450</v>
      </c>
      <c r="N22" s="29" t="n">
        <v>1</v>
      </c>
    </row>
    <row r="23">
      <c r="A23" s="11" t="inlineStr">
        <is>
          <t>11520</t>
        </is>
      </c>
      <c r="B23" s="11" t="inlineStr">
        <is>
          <t>Reagan Burford</t>
        </is>
      </c>
      <c r="C23" s="23" t="inlineStr">
        <is>
          <t>Enhancement</t>
        </is>
      </c>
      <c r="D23" s="11" t="inlineStr">
        <is>
          <t>closed</t>
        </is>
      </c>
      <c r="E23" s="11" t="inlineStr">
        <is>
          <t>Jan 13, 2026</t>
        </is>
      </c>
      <c r="F23" s="11" t="inlineStr">
        <is>
          <t>Jan 13, 2026</t>
        </is>
      </c>
      <c r="G23" s="11" t="inlineStr">
        <is>
          <t>Alex Martinez</t>
        </is>
      </c>
      <c r="H23" s="11" t="inlineStr">
        <is>
          <t>Brian Gopar</t>
        </is>
      </c>
      <c r="I23" s="12" t="n">
        <v>175</v>
      </c>
      <c r="J23" s="12" t="n">
        <v>0</v>
      </c>
      <c r="K23" s="12" t="n">
        <v>0</v>
      </c>
      <c r="L23" s="12" t="n">
        <v>0</v>
      </c>
      <c r="M23" s="12" t="n">
        <v>175</v>
      </c>
      <c r="N23" s="13" t="n">
        <v>1</v>
      </c>
    </row>
    <row r="24">
      <c r="A24" s="26" t="inlineStr">
        <is>
          <t>11474</t>
        </is>
      </c>
      <c r="B24" s="26" t="inlineStr">
        <is>
          <t>Kim King Associates</t>
        </is>
      </c>
      <c r="C24" s="24" t="inlineStr">
        <is>
          <t>Contracted Enhancement</t>
        </is>
      </c>
      <c r="D24" s="26" t="inlineStr">
        <is>
          <t>closed</t>
        </is>
      </c>
      <c r="E24" s="26" t="inlineStr">
        <is>
          <t>Jan 08, 2026</t>
        </is>
      </c>
      <c r="F24" s="26" t="inlineStr">
        <is>
          <t>Jan 12, 2026</t>
        </is>
      </c>
      <c r="G24" s="26" t="inlineStr">
        <is>
          <t>Alex Martinez</t>
        </is>
      </c>
      <c r="H24" s="26" t="inlineStr">
        <is>
          <t>Sub Contractor</t>
        </is>
      </c>
      <c r="I24" s="27" t="n">
        <v>2640</v>
      </c>
      <c r="J24" s="27" t="n">
        <v>0</v>
      </c>
      <c r="K24" s="27" t="n">
        <v>2200</v>
      </c>
      <c r="L24" s="27" t="n">
        <v>2200</v>
      </c>
      <c r="M24" s="27" t="n">
        <v>440</v>
      </c>
      <c r="N24" s="29" t="n">
        <v>0.1666666666666667</v>
      </c>
    </row>
    <row r="25">
      <c r="A25" s="11" t="inlineStr">
        <is>
          <t>11473</t>
        </is>
      </c>
      <c r="B25" s="11" t="inlineStr">
        <is>
          <t>Inter Atlanta FC</t>
        </is>
      </c>
      <c r="C25" s="23" t="inlineStr">
        <is>
          <t>Enhancement</t>
        </is>
      </c>
      <c r="D25" s="11" t="inlineStr">
        <is>
          <t>closed</t>
        </is>
      </c>
      <c r="E25" s="11" t="inlineStr">
        <is>
          <t>Jan 13, 2026</t>
        </is>
      </c>
      <c r="F25" s="11" t="inlineStr">
        <is>
          <t>-</t>
        </is>
      </c>
      <c r="G25" s="11" t="inlineStr"/>
      <c r="H25" s="11" t="inlineStr">
        <is>
          <t>Agronomy, Patrick Patterson, and Enhancements</t>
        </is>
      </c>
      <c r="I25" s="12" t="n">
        <v>4050</v>
      </c>
      <c r="J25" s="12" t="n">
        <v>2803.44</v>
      </c>
      <c r="K25" s="12" t="n">
        <v>7436.49</v>
      </c>
      <c r="L25" s="12" t="n">
        <v>10239.93</v>
      </c>
      <c r="M25" s="12" t="n">
        <v>-6189.93</v>
      </c>
      <c r="N25" s="13" t="n">
        <v>-1.528377777777778</v>
      </c>
    </row>
    <row r="26">
      <c r="A26" s="26" t="inlineStr">
        <is>
          <t>11416</t>
        </is>
      </c>
      <c r="B26" s="26" t="inlineStr">
        <is>
          <t>Max Slater</t>
        </is>
      </c>
      <c r="C26" s="23" t="inlineStr">
        <is>
          <t>Enhancement</t>
        </is>
      </c>
      <c r="D26" s="26" t="inlineStr">
        <is>
          <t>closed</t>
        </is>
      </c>
      <c r="E26" s="26" t="inlineStr">
        <is>
          <t>Jan 07, 2026</t>
        </is>
      </c>
      <c r="F26" s="26" t="inlineStr">
        <is>
          <t>Jan 12, 2026</t>
        </is>
      </c>
      <c r="G26" s="26" t="inlineStr">
        <is>
          <t>Alex Martinez</t>
        </is>
      </c>
      <c r="H26" s="26" t="inlineStr">
        <is>
          <t>Enhancements</t>
        </is>
      </c>
      <c r="I26" s="27" t="n">
        <v>992</v>
      </c>
      <c r="J26" s="27" t="n">
        <v>445.25</v>
      </c>
      <c r="K26" s="27" t="n">
        <v>0</v>
      </c>
      <c r="L26" s="27" t="n">
        <v>445.25</v>
      </c>
      <c r="M26" s="27" t="n">
        <v>546.75</v>
      </c>
      <c r="N26" s="29" t="n">
        <v>0.5511592741935484</v>
      </c>
    </row>
    <row r="27">
      <c r="A27" s="11" t="inlineStr">
        <is>
          <t>11415</t>
        </is>
      </c>
      <c r="B27" s="11" t="inlineStr">
        <is>
          <t>Max Slater</t>
        </is>
      </c>
      <c r="C27" s="23" t="inlineStr">
        <is>
          <t>Enhancement</t>
        </is>
      </c>
      <c r="D27" s="11" t="inlineStr">
        <is>
          <t>closed</t>
        </is>
      </c>
      <c r="E27" s="11" t="inlineStr">
        <is>
          <t>Jan 12, 2026</t>
        </is>
      </c>
      <c r="F27" s="11" t="inlineStr">
        <is>
          <t>Jan 14, 2026</t>
        </is>
      </c>
      <c r="G27" s="11" t="inlineStr">
        <is>
          <t>Alex Martinez</t>
        </is>
      </c>
      <c r="H27" s="11" t="inlineStr">
        <is>
          <t>Enhancements</t>
        </is>
      </c>
      <c r="I27" s="12" t="n">
        <v>951.13</v>
      </c>
      <c r="J27" s="12" t="n">
        <v>261.46</v>
      </c>
      <c r="K27" s="12" t="n">
        <v>741.6</v>
      </c>
      <c r="L27" s="12" t="n">
        <v>1003.06</v>
      </c>
      <c r="M27" s="12" t="n">
        <v>-51.92999999999995</v>
      </c>
      <c r="N27" s="13" t="n">
        <v>-0.05459821475508075</v>
      </c>
    </row>
    <row r="28">
      <c r="A28" s="26" t="inlineStr">
        <is>
          <t>11407</t>
        </is>
      </c>
      <c r="B28" s="26" t="inlineStr">
        <is>
          <t>Greg Reihing</t>
        </is>
      </c>
      <c r="C28" s="23" t="inlineStr">
        <is>
          <t>Enhancement</t>
        </is>
      </c>
      <c r="D28" s="26" t="inlineStr">
        <is>
          <t>closed</t>
        </is>
      </c>
      <c r="E28" s="26" t="inlineStr">
        <is>
          <t>Jan 12, 2026</t>
        </is>
      </c>
      <c r="F28" s="26" t="inlineStr">
        <is>
          <t>Jan 14, 2026</t>
        </is>
      </c>
      <c r="G28" s="26" t="inlineStr">
        <is>
          <t>Alex Martinez</t>
        </is>
      </c>
      <c r="H28" s="26" t="inlineStr">
        <is>
          <t>Enhancements</t>
        </is>
      </c>
      <c r="I28" s="27" t="n">
        <v>549.25</v>
      </c>
      <c r="J28" s="27" t="n">
        <v>261.46</v>
      </c>
      <c r="K28" s="27" t="n">
        <v>390.96</v>
      </c>
      <c r="L28" s="27" t="n">
        <v>652.42</v>
      </c>
      <c r="M28" s="27" t="n">
        <v>-103.17</v>
      </c>
      <c r="N28" s="29" t="n">
        <v>-0.1878379608557122</v>
      </c>
    </row>
    <row r="29">
      <c r="A29" s="11" t="inlineStr">
        <is>
          <t>11314</t>
        </is>
      </c>
      <c r="B29" s="11" t="inlineStr">
        <is>
          <t>Comcast Corporation</t>
        </is>
      </c>
      <c r="C29" s="23" t="inlineStr">
        <is>
          <t>Enhancement</t>
        </is>
      </c>
      <c r="D29" s="11" t="inlineStr">
        <is>
          <t>closed</t>
        </is>
      </c>
      <c r="E29" s="11" t="inlineStr">
        <is>
          <t>Jan 06, 2026</t>
        </is>
      </c>
      <c r="F29" s="11" t="inlineStr">
        <is>
          <t>Jan 12, 2026</t>
        </is>
      </c>
      <c r="G29" s="11" t="inlineStr">
        <is>
          <t>Alex Martinez</t>
        </is>
      </c>
      <c r="H29" s="11" t="inlineStr">
        <is>
          <t>Enhancements</t>
        </is>
      </c>
      <c r="I29" s="12" t="n">
        <v>3887.99</v>
      </c>
      <c r="J29" s="12" t="n">
        <v>926.3200000000001</v>
      </c>
      <c r="K29" s="12" t="n">
        <v>627</v>
      </c>
      <c r="L29" s="12" t="n">
        <v>1553.32</v>
      </c>
      <c r="M29" s="12" t="n">
        <v>2334.67</v>
      </c>
      <c r="N29" s="13" t="n">
        <v>0.6004825115290935</v>
      </c>
    </row>
    <row r="30">
      <c r="A30" s="26" t="inlineStr">
        <is>
          <t>11303</t>
        </is>
      </c>
      <c r="B30" s="26" t="inlineStr">
        <is>
          <t>Comcast Corporation</t>
        </is>
      </c>
      <c r="C30" s="23" t="inlineStr">
        <is>
          <t>Enhancement</t>
        </is>
      </c>
      <c r="D30" s="26" t="inlineStr">
        <is>
          <t>closed</t>
        </is>
      </c>
      <c r="E30" s="26" t="inlineStr">
        <is>
          <t>Jan 05, 2026</t>
        </is>
      </c>
      <c r="F30" s="26" t="inlineStr">
        <is>
          <t>Jan 12, 2026</t>
        </is>
      </c>
      <c r="G30" s="26" t="inlineStr">
        <is>
          <t>Alex Martinez</t>
        </is>
      </c>
      <c r="H30" s="26" t="inlineStr">
        <is>
          <t>Enhancements</t>
        </is>
      </c>
      <c r="I30" s="27" t="n">
        <v>1240</v>
      </c>
      <c r="J30" s="27" t="n">
        <v>407.03</v>
      </c>
      <c r="K30" s="27" t="n">
        <v>0</v>
      </c>
      <c r="L30" s="27" t="n">
        <v>407.03</v>
      </c>
      <c r="M30" s="27" t="n">
        <v>832.97</v>
      </c>
      <c r="N30" s="29" t="n">
        <v>0.6717500000000001</v>
      </c>
    </row>
    <row r="31">
      <c r="A31" s="11" t="inlineStr">
        <is>
          <t>11302</t>
        </is>
      </c>
      <c r="B31" s="11" t="inlineStr">
        <is>
          <t>Comcast Corporation</t>
        </is>
      </c>
      <c r="C31" s="23" t="inlineStr">
        <is>
          <t>Enhancement</t>
        </is>
      </c>
      <c r="D31" s="11" t="inlineStr">
        <is>
          <t>closed</t>
        </is>
      </c>
      <c r="E31" s="11" t="inlineStr">
        <is>
          <t>Jan 05, 2026</t>
        </is>
      </c>
      <c r="F31" s="11" t="inlineStr">
        <is>
          <t>Jan 12, 2026</t>
        </is>
      </c>
      <c r="G31" s="11" t="inlineStr">
        <is>
          <t>Alex Martinez</t>
        </is>
      </c>
      <c r="H31" s="11" t="inlineStr">
        <is>
          <t>Enhancements</t>
        </is>
      </c>
      <c r="I31" s="12" t="n">
        <v>1240</v>
      </c>
      <c r="J31" s="12" t="n">
        <v>407.03</v>
      </c>
      <c r="K31" s="12" t="n">
        <v>0</v>
      </c>
      <c r="L31" s="12" t="n">
        <v>407.03</v>
      </c>
      <c r="M31" s="12" t="n">
        <v>832.97</v>
      </c>
      <c r="N31" s="13" t="n">
        <v>0.6717500000000001</v>
      </c>
    </row>
  </sheetData>
  <conditionalFormatting sqref="M2:M31">
    <cfRule type="expression" priority="1" dxfId="0">
      <formula>$M2&gt;0</formula>
    </cfRule>
    <cfRule type="expression" priority="2" dxfId="1">
      <formula>$M2&lt;0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2" customWidth="1" min="4" max="4"/>
    <col width="12" customWidth="1" min="5" max="5"/>
    <col width="18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0" t="inlineStr">
        <is>
          <t>Invoice #</t>
        </is>
      </c>
      <c r="B1" s="10" t="inlineStr">
        <is>
          <t>Client</t>
        </is>
      </c>
      <c r="C1" s="10" t="inlineStr">
        <is>
          <t>Job #</t>
        </is>
      </c>
      <c r="D1" s="10" t="inlineStr">
        <is>
          <t>Total</t>
        </is>
      </c>
      <c r="E1" s="10" t="inlineStr">
        <is>
          <t>Balance</t>
        </is>
      </c>
      <c r="F1" s="10" t="inlineStr">
        <is>
          <t>Status</t>
        </is>
      </c>
      <c r="G1" s="10" t="inlineStr">
        <is>
          <t>Issued</t>
        </is>
      </c>
      <c r="H1" s="10" t="inlineStr">
        <is>
          <t>Due</t>
        </is>
      </c>
      <c r="I1" s="10" t="inlineStr">
        <is>
          <t>Paid Date</t>
        </is>
      </c>
      <c r="J1" s="10" t="inlineStr">
        <is>
          <t>Days to Paid</t>
        </is>
      </c>
    </row>
    <row r="2">
      <c r="A2" s="11" t="inlineStr">
        <is>
          <t>17096</t>
        </is>
      </c>
      <c r="B2" s="11" t="inlineStr">
        <is>
          <t>Inter Atlanta FC</t>
        </is>
      </c>
      <c r="C2" s="11" t="inlineStr">
        <is>
          <t>11578</t>
        </is>
      </c>
      <c r="D2" s="12" t="n">
        <v>482</v>
      </c>
      <c r="E2" s="12" t="n">
        <v>482</v>
      </c>
      <c r="F2" s="18" t="inlineStr">
        <is>
          <t>Awaiting Payment</t>
        </is>
      </c>
      <c r="G2" s="11" t="inlineStr">
        <is>
          <t>Jan 30, 2026</t>
        </is>
      </c>
      <c r="H2" s="11" t="inlineStr">
        <is>
          <t>Feb 14, 2026</t>
        </is>
      </c>
      <c r="I2" s="11" t="inlineStr">
        <is>
          <t>-</t>
        </is>
      </c>
      <c r="J2" s="11" t="inlineStr"/>
    </row>
    <row r="3">
      <c r="A3" s="11" t="inlineStr">
        <is>
          <t>17095</t>
        </is>
      </c>
      <c r="B3" s="11" t="inlineStr">
        <is>
          <t>Inter Atlanta FC</t>
        </is>
      </c>
      <c r="C3" s="11" t="inlineStr">
        <is>
          <t>11577</t>
        </is>
      </c>
      <c r="D3" s="12" t="n">
        <v>2496</v>
      </c>
      <c r="E3" s="12" t="n">
        <v>2496</v>
      </c>
      <c r="F3" s="18" t="inlineStr">
        <is>
          <t>Awaiting Payment</t>
        </is>
      </c>
      <c r="G3" s="11" t="inlineStr">
        <is>
          <t>Jan 30, 2026</t>
        </is>
      </c>
      <c r="H3" s="11" t="inlineStr">
        <is>
          <t>Feb 14, 2026</t>
        </is>
      </c>
      <c r="I3" s="11" t="inlineStr">
        <is>
          <t>-</t>
        </is>
      </c>
      <c r="J3" s="11" t="inlineStr"/>
    </row>
    <row r="4">
      <c r="A4" s="11" t="inlineStr">
        <is>
          <t>17094</t>
        </is>
      </c>
      <c r="B4" s="11" t="inlineStr">
        <is>
          <t>Mary Smith</t>
        </is>
      </c>
      <c r="C4" s="11" t="inlineStr">
        <is>
          <t>11521</t>
        </is>
      </c>
      <c r="D4" s="12" t="n">
        <v>450</v>
      </c>
      <c r="E4" s="12" t="n">
        <v>0</v>
      </c>
      <c r="F4" s="17" t="inlineStr">
        <is>
          <t>Paid</t>
        </is>
      </c>
      <c r="G4" s="11" t="inlineStr">
        <is>
          <t>Jan 22, 2026</t>
        </is>
      </c>
      <c r="H4" s="11" t="inlineStr">
        <is>
          <t>Jan 22, 2026</t>
        </is>
      </c>
      <c r="I4" s="11" t="inlineStr">
        <is>
          <t>Jan 23, 2026</t>
        </is>
      </c>
      <c r="J4" s="11" t="inlineStr">
        <is>
          <t>1</t>
        </is>
      </c>
    </row>
    <row r="5">
      <c r="A5" s="11" t="inlineStr">
        <is>
          <t>17093</t>
        </is>
      </c>
      <c r="B5" s="11" t="inlineStr">
        <is>
          <t>Kim King Associates</t>
        </is>
      </c>
      <c r="C5" s="11" t="inlineStr">
        <is>
          <t>11528</t>
        </is>
      </c>
      <c r="D5" s="12" t="n">
        <v>1917.5</v>
      </c>
      <c r="E5" s="12" t="n">
        <v>0</v>
      </c>
      <c r="F5" s="17" t="inlineStr">
        <is>
          <t>Paid</t>
        </is>
      </c>
      <c r="G5" s="11" t="inlineStr">
        <is>
          <t>Jan 19, 2026</t>
        </is>
      </c>
      <c r="H5" s="11" t="inlineStr">
        <is>
          <t>Feb 03, 2026</t>
        </is>
      </c>
      <c r="I5" s="11" t="inlineStr">
        <is>
          <t>Jan 30, 2026</t>
        </is>
      </c>
      <c r="J5" s="11" t="inlineStr">
        <is>
          <t>11</t>
        </is>
      </c>
    </row>
    <row r="6">
      <c r="A6" s="11" t="inlineStr">
        <is>
          <t>17092</t>
        </is>
      </c>
      <c r="B6" s="11" t="inlineStr">
        <is>
          <t>Inter Atlanta FC</t>
        </is>
      </c>
      <c r="C6" s="11" t="inlineStr">
        <is>
          <t>11473</t>
        </is>
      </c>
      <c r="D6" s="12" t="n">
        <v>4050</v>
      </c>
      <c r="E6" s="12" t="n">
        <v>4050</v>
      </c>
      <c r="F6" s="18" t="inlineStr">
        <is>
          <t>Awaiting Payment</t>
        </is>
      </c>
      <c r="G6" s="11" t="inlineStr">
        <is>
          <t>Jan 22, 2026</t>
        </is>
      </c>
      <c r="H6" s="11" t="inlineStr">
        <is>
          <t>Feb 06, 2026</t>
        </is>
      </c>
      <c r="I6" s="11" t="inlineStr">
        <is>
          <t>-</t>
        </is>
      </c>
      <c r="J6" s="11" t="inlineStr"/>
    </row>
    <row r="7">
      <c r="A7" s="11" t="inlineStr">
        <is>
          <t>17091</t>
        </is>
      </c>
      <c r="B7" s="11" t="inlineStr">
        <is>
          <t>Max Slater</t>
        </is>
      </c>
      <c r="C7" s="11" t="inlineStr">
        <is>
          <t>11415</t>
        </is>
      </c>
      <c r="D7" s="12" t="n">
        <v>951.13</v>
      </c>
      <c r="E7" s="12" t="n">
        <v>0</v>
      </c>
      <c r="F7" s="17" t="inlineStr">
        <is>
          <t>Paid</t>
        </is>
      </c>
      <c r="G7" s="11" t="inlineStr">
        <is>
          <t>Jan 14, 2026</t>
        </is>
      </c>
      <c r="H7" s="11" t="inlineStr">
        <is>
          <t>Jan 14, 2026</t>
        </is>
      </c>
      <c r="I7" s="11" t="inlineStr">
        <is>
          <t>Jan 14, 2026</t>
        </is>
      </c>
      <c r="J7" s="11" t="inlineStr">
        <is>
          <t>0</t>
        </is>
      </c>
    </row>
    <row r="8">
      <c r="A8" s="11" t="inlineStr">
        <is>
          <t>17090</t>
        </is>
      </c>
      <c r="B8" s="11" t="inlineStr">
        <is>
          <t>Greg Reihing</t>
        </is>
      </c>
      <c r="C8" s="11" t="inlineStr">
        <is>
          <t>11407</t>
        </is>
      </c>
      <c r="D8" s="12" t="n">
        <v>549.25</v>
      </c>
      <c r="E8" s="12" t="n">
        <v>0</v>
      </c>
      <c r="F8" s="17" t="inlineStr">
        <is>
          <t>Paid</t>
        </is>
      </c>
      <c r="G8" s="11" t="inlineStr">
        <is>
          <t>Jan 14, 2026</t>
        </is>
      </c>
      <c r="H8" s="11" t="inlineStr">
        <is>
          <t>Jan 14, 2026</t>
        </is>
      </c>
      <c r="I8" s="11" t="inlineStr">
        <is>
          <t>Jan 14, 2026</t>
        </is>
      </c>
      <c r="J8" s="11" t="inlineStr">
        <is>
          <t>0</t>
        </is>
      </c>
    </row>
    <row r="9">
      <c r="A9" s="11" t="inlineStr">
        <is>
          <t>17089</t>
        </is>
      </c>
      <c r="B9" s="11" t="inlineStr">
        <is>
          <t>Reagan Burford</t>
        </is>
      </c>
      <c r="C9" s="11" t="inlineStr">
        <is>
          <t>11520</t>
        </is>
      </c>
      <c r="D9" s="12" t="n">
        <v>175</v>
      </c>
      <c r="E9" s="12" t="n">
        <v>0</v>
      </c>
      <c r="F9" s="17" t="inlineStr">
        <is>
          <t>Paid</t>
        </is>
      </c>
      <c r="G9" s="11" t="inlineStr">
        <is>
          <t>Jan 13, 2026</t>
        </is>
      </c>
      <c r="H9" s="11" t="inlineStr">
        <is>
          <t>Jan 13, 2026</t>
        </is>
      </c>
      <c r="I9" s="11" t="inlineStr">
        <is>
          <t>Jan 13, 2026</t>
        </is>
      </c>
      <c r="J9" s="11" t="inlineStr">
        <is>
          <t>0</t>
        </is>
      </c>
    </row>
    <row r="10">
      <c r="A10" s="11" t="inlineStr">
        <is>
          <t>17088</t>
        </is>
      </c>
      <c r="B10" s="11" t="inlineStr">
        <is>
          <t>Comcast Corporation</t>
        </is>
      </c>
      <c r="C10" s="11" t="inlineStr">
        <is>
          <t>11314</t>
        </is>
      </c>
      <c r="D10" s="12" t="n">
        <v>3887.99</v>
      </c>
      <c r="E10" s="12" t="n">
        <v>3887.99</v>
      </c>
      <c r="F10" s="18" t="inlineStr">
        <is>
          <t>Awaiting Payment</t>
        </is>
      </c>
      <c r="G10" s="11" t="inlineStr">
        <is>
          <t>Jan 12, 2026</t>
        </is>
      </c>
      <c r="H10" s="11" t="inlineStr">
        <is>
          <t>Feb 11, 2026</t>
        </is>
      </c>
      <c r="I10" s="11" t="inlineStr">
        <is>
          <t>-</t>
        </is>
      </c>
      <c r="J10" s="11" t="inlineStr"/>
    </row>
    <row r="11">
      <c r="A11" s="11" t="inlineStr">
        <is>
          <t>17087</t>
        </is>
      </c>
      <c r="B11" s="11" t="inlineStr">
        <is>
          <t>Kim King Associates</t>
        </is>
      </c>
      <c r="C11" s="11" t="inlineStr">
        <is>
          <t>11474</t>
        </is>
      </c>
      <c r="D11" s="12" t="n">
        <v>2640</v>
      </c>
      <c r="E11" s="12" t="n">
        <v>0</v>
      </c>
      <c r="F11" s="17" t="inlineStr">
        <is>
          <t>Paid</t>
        </is>
      </c>
      <c r="G11" s="11" t="inlineStr">
        <is>
          <t>Jan 12, 2026</t>
        </is>
      </c>
      <c r="H11" s="11" t="inlineStr">
        <is>
          <t>Jan 27, 2026</t>
        </is>
      </c>
      <c r="I11" s="11" t="inlineStr">
        <is>
          <t>Jan 21, 2026</t>
        </is>
      </c>
      <c r="J11" s="11" t="inlineStr">
        <is>
          <t>9</t>
        </is>
      </c>
    </row>
    <row r="12">
      <c r="A12" s="11" t="inlineStr">
        <is>
          <t>17086</t>
        </is>
      </c>
      <c r="B12" s="11" t="inlineStr">
        <is>
          <t>Max Slater</t>
        </is>
      </c>
      <c r="C12" s="11" t="inlineStr">
        <is>
          <t>11416</t>
        </is>
      </c>
      <c r="D12" s="12" t="n">
        <v>992</v>
      </c>
      <c r="E12" s="12" t="n">
        <v>0</v>
      </c>
      <c r="F12" s="17" t="inlineStr">
        <is>
          <t>Paid</t>
        </is>
      </c>
      <c r="G12" s="11" t="inlineStr">
        <is>
          <t>Jan 12, 2026</t>
        </is>
      </c>
      <c r="H12" s="11" t="inlineStr">
        <is>
          <t>Jan 12, 2026</t>
        </is>
      </c>
      <c r="I12" s="11" t="inlineStr">
        <is>
          <t>Jan 12, 2026</t>
        </is>
      </c>
      <c r="J12" s="11" t="inlineStr">
        <is>
          <t>0</t>
        </is>
      </c>
    </row>
    <row r="13">
      <c r="A13" s="11" t="inlineStr">
        <is>
          <t>17081</t>
        </is>
      </c>
      <c r="B13" s="11" t="inlineStr">
        <is>
          <t>Comcast Corporation</t>
        </is>
      </c>
      <c r="C13" s="11" t="inlineStr">
        <is>
          <t>11302</t>
        </is>
      </c>
      <c r="D13" s="12" t="n">
        <v>1240</v>
      </c>
      <c r="E13" s="12" t="n">
        <v>1240</v>
      </c>
      <c r="F13" s="18" t="inlineStr">
        <is>
          <t>Awaiting Payment</t>
        </is>
      </c>
      <c r="G13" s="11" t="inlineStr">
        <is>
          <t>Jan 07, 2026</t>
        </is>
      </c>
      <c r="H13" s="11" t="inlineStr">
        <is>
          <t>Feb 06, 2026</t>
        </is>
      </c>
      <c r="I13" s="11" t="inlineStr">
        <is>
          <t>-</t>
        </is>
      </c>
      <c r="J13" s="11" t="inlineStr"/>
    </row>
    <row r="14">
      <c r="A14" s="11" t="inlineStr">
        <is>
          <t>17080</t>
        </is>
      </c>
      <c r="B14" s="11" t="inlineStr">
        <is>
          <t>Comcast Corporation</t>
        </is>
      </c>
      <c r="C14" s="11" t="inlineStr">
        <is>
          <t>11303</t>
        </is>
      </c>
      <c r="D14" s="12" t="n">
        <v>1240</v>
      </c>
      <c r="E14" s="12" t="n">
        <v>1240</v>
      </c>
      <c r="F14" s="18" t="inlineStr">
        <is>
          <t>Awaiting Payment</t>
        </is>
      </c>
      <c r="G14" s="11" t="inlineStr">
        <is>
          <t>Jan 07, 2026</t>
        </is>
      </c>
      <c r="H14" s="11" t="inlineStr">
        <is>
          <t>Feb 06, 2026</t>
        </is>
      </c>
      <c r="I14" s="11" t="inlineStr">
        <is>
          <t>-</t>
        </is>
      </c>
      <c r="J14" s="11" t="inlineStr"/>
    </row>
  </sheetData>
  <conditionalFormatting sqref="E2:E14">
    <cfRule type="expression" priority="1" dxfId="1">
      <formula>$E2&gt;0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2026-02-02T11:38:04Z</dcterms:created>
  <dcterms:modified xmlns:dcterms="http://purl.org/dc/terms/" xmlns:xsi="http://www.w3.org/2001/XMLSchema-instance" xsi:type="dcterms:W3CDTF">2026-02-02T11:38:04Z</dcterms:modified>
</cp:coreProperties>
</file>