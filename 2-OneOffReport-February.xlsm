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Executive Dashboard" sheetId="1" state="visible" r:id="rId1"/>
    <sheet xmlns:r="http://schemas.openxmlformats.org/officeDocument/2006/relationships" name="Weekly Trends" sheetId="2" state="visible" r:id="rId2"/>
    <sheet xmlns:r="http://schemas.openxmlformats.org/officeDocument/2006/relationships" name="Jobs" sheetId="3" state="visible" r:id="rId3"/>
    <sheet xmlns:r="http://schemas.openxmlformats.org/officeDocument/2006/relationships" name="Invoices" sheetId="4" state="visible" r:id="rId4"/>
    <sheet xmlns:r="http://schemas.openxmlformats.org/officeDocument/2006/relationships" name="Client Analysi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7">
    <numFmt numFmtId="164" formatCode="_($* #,##0_);_($* (#,##0);_($* &quot;-&quot;??_);_(@_)"/>
    <numFmt numFmtId="165" formatCode="&quot;margin: &quot;0.0%"/>
    <numFmt numFmtId="166" formatCode="&quot;expenses: &quot;$#,##0"/>
    <numFmt numFmtId="167" formatCode="0.0%"/>
    <numFmt numFmtId="168" formatCode="+0.0%;-0.0%;--"/>
    <numFmt numFmtId="169" formatCode="_($* #,##0.00_);_($* (#,##0.00);_($* &quot;-&quot;??_);_(@_)"/>
    <numFmt numFmtId="170" formatCode="0.0"/>
  </numFmts>
  <fonts count="13">
    <font>
      <name val="Calibri"/>
      <family val="2"/>
      <color theme="1"/>
      <sz val="11"/>
      <scheme val="minor"/>
    </font>
    <font>
      <name val="Calibri"/>
      <b val="1"/>
      <color rgb="001B365D"/>
      <sz val="18"/>
    </font>
    <font>
      <name val="Calibri"/>
      <i val="1"/>
      <color rgb="00808080"/>
      <sz val="10"/>
    </font>
    <font>
      <name val="Calibri"/>
      <color rgb="00808080"/>
      <sz val="9"/>
    </font>
    <font>
      <name val="Calibri"/>
      <b val="1"/>
      <color rgb="001B365D"/>
      <sz val="24"/>
    </font>
    <font>
      <name val="Calibri"/>
      <color rgb="00808080"/>
      <sz val="8"/>
    </font>
    <font>
      <name val="Calibri"/>
      <b val="1"/>
      <color rgb="00548235"/>
      <sz val="9"/>
    </font>
    <font>
      <name val="Calibri"/>
      <b val="1"/>
      <color rgb="001B365D"/>
      <sz val="12"/>
    </font>
    <font>
      <name val="Calibri"/>
      <b val="1"/>
      <color rgb="00FFFFFF"/>
      <sz val="10"/>
    </font>
    <font>
      <name val="Calibri"/>
      <b val="1"/>
      <color rgb="00548235"/>
    </font>
    <font>
      <name val="Calibri"/>
      <b val="1"/>
      <color rgb="00C00000"/>
    </font>
    <font>
      <i val="1"/>
      <color rgb="00808080"/>
      <sz val="10"/>
    </font>
    <font>
      <name val="Calibri"/>
      <sz val="10"/>
    </font>
  </fonts>
  <fills count="11">
    <fill>
      <patternFill/>
    </fill>
    <fill>
      <patternFill patternType="gray125"/>
    </fill>
    <fill>
      <patternFill patternType="solid">
        <fgColor rgb="00D6DCE5"/>
        <bgColor rgb="00D6DCE5"/>
      </patternFill>
    </fill>
    <fill>
      <patternFill patternType="solid">
        <fgColor rgb="001B365D"/>
        <bgColor rgb="001B365D"/>
      </patternFill>
    </fill>
    <fill>
      <patternFill patternType="solid">
        <fgColor rgb="00E2EFDA"/>
        <bgColor rgb="00E2EFDA"/>
      </patternFill>
    </fill>
    <fill>
      <patternFill patternType="solid">
        <fgColor rgb="00DDEBF7"/>
        <bgColor rgb="00DDEBF7"/>
      </patternFill>
    </fill>
    <fill>
      <patternFill patternType="solid">
        <fgColor rgb="004472C4"/>
        <bgColor rgb="004472C4"/>
      </patternFill>
    </fill>
    <fill>
      <patternFill patternType="solid">
        <fgColor rgb="00F8F9FA"/>
        <bgColor rgb="00F8F9FA"/>
      </patternFill>
    </fill>
    <fill>
      <patternFill patternType="solid">
        <fgColor rgb="00C6EFCE"/>
        <bgColor rgb="00C6EFCE"/>
      </patternFill>
    </fill>
    <fill>
      <patternFill patternType="solid">
        <fgColor rgb="00FFEB9C"/>
        <bgColor rgb="00FFEB9C"/>
      </patternFill>
    </fill>
    <fill>
      <patternFill patternType="solid">
        <fgColor rgb="00FFC7CE"/>
        <bgColor rgb="00FFC7CE"/>
      </patternFill>
    </fill>
  </fills>
  <borders count="3">
    <border>
      <left/>
      <right/>
      <top/>
      <bottom/>
      <diagonal/>
    </border>
    <border>
      <bottom style="medium">
        <color rgb="001B365D"/>
      </bottom>
    </border>
    <border>
      <left style="thin">
        <color rgb="00D6DCE5"/>
      </left>
      <right style="thin">
        <color rgb="00D6DCE5"/>
      </right>
      <top style="thin">
        <color rgb="00D6DCE5"/>
      </top>
      <bottom style="thin">
        <color rgb="00D6DCE5"/>
      </bottom>
    </border>
  </borders>
  <cellStyleXfs count="1">
    <xf numFmtId="0" fontId="0" fillId="0" borderId="0"/>
  </cellStyleXfs>
  <cellXfs count="49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0" fillId="0" borderId="1" pivotButton="0" quotePrefix="0" xfId="0"/>
    <xf numFmtId="0" fontId="3" fillId="2" borderId="0" pivotButton="0" quotePrefix="0" xfId="0"/>
    <xf numFmtId="0" fontId="0" fillId="2" borderId="0" pivotButton="0" quotePrefix="0" xfId="0"/>
    <xf numFmtId="0" fontId="4" fillId="2" borderId="0" pivotButton="0" quotePrefix="0" xfId="0"/>
    <xf numFmtId="164" fontId="4" fillId="2" borderId="0" pivotButton="0" quotePrefix="0" xfId="0"/>
    <xf numFmtId="167" fontId="4" fillId="2" borderId="0" pivotButton="0" quotePrefix="0" xfId="0"/>
    <xf numFmtId="0" fontId="5" fillId="2" borderId="0" pivotButton="0" quotePrefix="0" xfId="0"/>
    <xf numFmtId="165" fontId="6" fillId="2" borderId="0" pivotButton="0" quotePrefix="0" xfId="0"/>
    <xf numFmtId="166" fontId="5" fillId="2" borderId="0" pivotButton="0" quotePrefix="0" xfId="0"/>
    <xf numFmtId="0" fontId="7" fillId="0" borderId="1" pivotButton="0" quotePrefix="0" xfId="0"/>
    <xf numFmtId="0" fontId="8" fillId="3" borderId="2" applyAlignment="1" pivotButton="0" quotePrefix="0" xfId="0">
      <alignment horizontal="center"/>
    </xf>
    <xf numFmtId="0" fontId="0" fillId="4" borderId="2" pivotButton="0" quotePrefix="0" xfId="0"/>
    <xf numFmtId="0" fontId="0" fillId="0" borderId="2" applyAlignment="1" pivotButton="0" quotePrefix="0" xfId="0">
      <alignment horizontal="center"/>
    </xf>
    <xf numFmtId="164" fontId="0" fillId="0" borderId="2" pivotButton="0" quotePrefix="0" xfId="0"/>
    <xf numFmtId="167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5" borderId="2" pivotButton="0" quotePrefix="0" xfId="0"/>
    <xf numFmtId="0" fontId="0" fillId="7" borderId="2" pivotButton="0" quotePrefix="0" xfId="0"/>
    <xf numFmtId="0" fontId="0" fillId="7" borderId="2" applyAlignment="1" pivotButton="0" quotePrefix="0" xfId="0">
      <alignment horizontal="center"/>
    </xf>
    <xf numFmtId="164" fontId="0" fillId="7" borderId="2" pivotButton="0" quotePrefix="0" xfId="0"/>
    <xf numFmtId="167" fontId="0" fillId="7" borderId="2" applyAlignment="1" pivotButton="0" quotePrefix="0" xfId="0">
      <alignment horizontal="center"/>
    </xf>
    <xf numFmtId="0" fontId="8" fillId="6" borderId="2" pivotButton="0" quotePrefix="0" xfId="0"/>
    <xf numFmtId="164" fontId="8" fillId="6" borderId="2" pivotButton="0" quotePrefix="0" xfId="0"/>
    <xf numFmtId="167" fontId="8" fillId="6" borderId="2" applyAlignment="1" pivotButton="0" quotePrefix="0" xfId="0">
      <alignment horizontal="center"/>
    </xf>
    <xf numFmtId="164" fontId="9" fillId="0" borderId="2" pivotButton="0" quotePrefix="0" xfId="0"/>
    <xf numFmtId="168" fontId="0" fillId="0" borderId="2" applyAlignment="1" pivotButton="0" quotePrefix="0" xfId="0">
      <alignment horizontal="center"/>
    </xf>
    <xf numFmtId="164" fontId="9" fillId="7" borderId="2" pivotButton="0" quotePrefix="0" xfId="0"/>
    <xf numFmtId="168" fontId="0" fillId="7" borderId="2" applyAlignment="1" pivotButton="0" quotePrefix="0" xfId="0">
      <alignment horizontal="center"/>
    </xf>
    <xf numFmtId="164" fontId="10" fillId="0" borderId="2" pivotButton="0" quotePrefix="0" xfId="0"/>
    <xf numFmtId="167" fontId="8" fillId="6" borderId="2" pivotButton="0" quotePrefix="0" xfId="0"/>
    <xf numFmtId="0" fontId="0" fillId="8" borderId="2" pivotButton="0" quotePrefix="0" xfId="0"/>
    <xf numFmtId="0" fontId="0" fillId="9" borderId="2" pivotButton="0" quotePrefix="0" xfId="0"/>
    <xf numFmtId="0" fontId="0" fillId="10" borderId="2" pivotButton="0" quotePrefix="0" xfId="0"/>
    <xf numFmtId="0" fontId="11" fillId="0" borderId="0" pivotButton="0" quotePrefix="0" xfId="0"/>
    <xf numFmtId="0" fontId="8" fillId="3" borderId="2" applyAlignment="1" pivotButton="0" quotePrefix="0" xfId="0">
      <alignment horizontal="center" wrapText="1"/>
    </xf>
    <xf numFmtId="0" fontId="0" fillId="4" borderId="2" applyAlignment="1" pivotButton="0" quotePrefix="0" xfId="0">
      <alignment horizontal="center"/>
    </xf>
    <xf numFmtId="0" fontId="0" fillId="5" borderId="2" applyAlignment="1" pivotButton="0" quotePrefix="0" xfId="0">
      <alignment horizontal="center"/>
    </xf>
    <xf numFmtId="0" fontId="8" fillId="3" borderId="2" pivotButton="0" quotePrefix="0" xfId="0"/>
    <xf numFmtId="0" fontId="12" fillId="7" borderId="2" pivotButton="0" quotePrefix="0" xfId="0"/>
    <xf numFmtId="169" fontId="12" fillId="7" borderId="2" pivotButton="0" quotePrefix="0" xfId="0"/>
    <xf numFmtId="170" fontId="12" fillId="7" borderId="2" pivotButton="0" quotePrefix="0" xfId="0"/>
    <xf numFmtId="0" fontId="12" fillId="4" borderId="2" pivotButton="0" quotePrefix="0" xfId="0"/>
    <xf numFmtId="0" fontId="12" fillId="0" borderId="2" pivotButton="0" quotePrefix="0" xfId="0"/>
    <xf numFmtId="169" fontId="12" fillId="0" borderId="2" pivotButton="0" quotePrefix="0" xfId="0"/>
    <xf numFmtId="170" fontId="12" fillId="0" borderId="2" pivotButton="0" quotePrefix="0" xfId="0"/>
    <xf numFmtId="0" fontId="12" fillId="5" borderId="2" pivotButton="0" quotePrefix="0" xfId="0"/>
  </cellXfs>
  <cellStyles count="1">
    <cellStyle name="Normal" xfId="0" builtinId="0" hidden="0"/>
  </cellStyles>
  <dxfs count="3">
    <dxf>
      <fill>
        <patternFill patternType="solid">
          <fgColor rgb="00C6EFCE"/>
          <bgColor rgb="00C6EFCE"/>
        </patternFill>
      </fill>
    </dxf>
    <dxf>
      <fill>
        <patternFill patternType="solid">
          <fgColor rgb="00FFC7CE"/>
          <bgColor rgb="00FFC7CE"/>
        </patternFill>
      </fill>
    </dxf>
    <dxf>
      <fill>
        <patternFill patternType="solid">
          <fgColor rgb="00FFEB9C"/>
          <bgColor rgb="00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O28"/>
  <sheetViews>
    <sheetView workbookViewId="0">
      <selection activeCell="A1" sqref="A1"/>
    </sheetView>
  </sheetViews>
  <sheetFormatPr baseColWidth="8" defaultRowHeight="15"/>
  <cols>
    <col width="3" customWidth="1" min="1" max="1"/>
    <col width="18" customWidth="1" min="2" max="2"/>
    <col width="14" customWidth="1" min="3" max="3"/>
    <col width="14" customWidth="1" min="4" max="4"/>
    <col width="3" customWidth="1" min="5" max="5"/>
    <col width="18" customWidth="1" min="6" max="6"/>
    <col width="14" customWidth="1" min="7" max="7"/>
    <col width="14" customWidth="1" min="8" max="8"/>
    <col width="14" customWidth="1" min="9" max="9"/>
    <col width="3" customWidth="1" min="10" max="10"/>
    <col width="22" customWidth="1" min="11" max="11"/>
    <col width="12" customWidth="1" min="12" max="12"/>
    <col width="14" customWidth="1" min="13" max="13"/>
    <col width="14" customWidth="1" min="14" max="14"/>
    <col width="12" customWidth="1" min="15" max="15"/>
  </cols>
  <sheetData>
    <row r="2">
      <c r="B2" s="1" t="inlineStr">
        <is>
          <t>ENHANCEMENT JOBS - FINANCIAL PERFORMANCE</t>
        </is>
      </c>
    </row>
    <row r="3">
      <c r="B3" s="2" t="inlineStr">
        <is>
          <t>Enhancement &amp; Contracted Enhancement Only  |  Generated: February 01, 2026</t>
        </is>
      </c>
    </row>
    <row r="4">
      <c r="B4" s="3" t="n"/>
      <c r="C4" s="3" t="n"/>
      <c r="D4" s="3" t="n"/>
      <c r="E4" s="3" t="n"/>
      <c r="F4" s="3" t="n"/>
      <c r="G4" s="3" t="n"/>
      <c r="H4" s="3" t="n"/>
      <c r="I4" s="3" t="n"/>
      <c r="J4" s="3" t="n"/>
      <c r="K4" s="3" t="n"/>
      <c r="L4" s="3" t="n"/>
      <c r="M4" s="3" t="n"/>
      <c r="N4" s="3" t="n"/>
    </row>
    <row r="6">
      <c r="B6" s="4" t="inlineStr">
        <is>
          <t>ENHANCEMENT JOBS</t>
        </is>
      </c>
      <c r="C6" s="5" t="n"/>
      <c r="D6" s="4" t="inlineStr">
        <is>
          <t>TOTAL REVENUE</t>
        </is>
      </c>
      <c r="E6" s="5" t="n"/>
      <c r="F6" s="4" t="inlineStr">
        <is>
          <t>GROSS PROFIT</t>
        </is>
      </c>
      <c r="G6" s="5" t="n"/>
      <c r="H6" s="4" t="inlineStr">
        <is>
          <t>TOTAL COSTS</t>
        </is>
      </c>
      <c r="I6" s="5" t="n"/>
      <c r="J6" s="4" t="inlineStr">
        <is>
          <t>AVG JOB VALUE</t>
        </is>
      </c>
      <c r="K6" s="5" t="n"/>
      <c r="L6" s="4" t="inlineStr">
        <is>
          <t>AVG PROFIT MARGIN</t>
        </is>
      </c>
      <c r="M6" s="5" t="n"/>
    </row>
    <row r="7">
      <c r="B7" s="6">
        <f>COUNTA(Jobs!A:A)-1</f>
        <v/>
      </c>
      <c r="C7" s="5" t="n"/>
      <c r="D7" s="7">
        <f>SUM(Jobs!L:L)</f>
        <v/>
      </c>
      <c r="E7" s="5" t="n"/>
      <c r="F7" s="7">
        <f>SUM(Jobs!M:M)</f>
        <v/>
      </c>
      <c r="G7" s="5" t="n"/>
      <c r="H7" s="7">
        <f>SUM(Jobs!K:K)</f>
        <v/>
      </c>
      <c r="I7" s="5" t="n"/>
      <c r="J7" s="7">
        <f>IFERROR(SUM(Jobs!L:L)/(COUNTA(Jobs!A:A)-1),0)</f>
        <v/>
      </c>
      <c r="K7" s="5" t="n"/>
      <c r="L7" s="8">
        <f>IFERROR(AVERAGEIF(Jobs!N:N,"&lt;&gt;0",Jobs!N:N)/100,0)</f>
        <v/>
      </c>
      <c r="M7" s="5" t="n"/>
    </row>
    <row r="8">
      <c r="B8" s="9">
        <f>COUNTIF(Jobs!O:O,"Enhancement")&amp;" std / "&amp;COUNTIF(Jobs!O:O,"Contracted Enhancement")&amp;" contracted"</f>
        <v/>
      </c>
      <c r="C8" s="5" t="n"/>
      <c r="D8" s="9" t="inlineStr">
        <is>
          <t>enhancement revenue</t>
        </is>
      </c>
      <c r="E8" s="5" t="n"/>
      <c r="F8" s="10">
        <f>IFERROR(SUM(Jobs!M:M)/SUM(Jobs!L:L),0)</f>
        <v/>
      </c>
      <c r="G8" s="5" t="n"/>
      <c r="H8" s="11">
        <f>SUM(Jobs!H:H)</f>
        <v/>
      </c>
      <c r="I8" s="5" t="n"/>
      <c r="J8" s="9" t="inlineStr">
        <is>
          <t>per enhancement</t>
        </is>
      </c>
      <c r="K8" s="5" t="n"/>
      <c r="L8" s="9" t="inlineStr">
        <is>
          <t>across all jobs</t>
        </is>
      </c>
      <c r="M8" s="5" t="n"/>
    </row>
    <row r="11">
      <c r="B11" s="12" t="inlineStr">
        <is>
          <t>ENHANCEMENT TYPE COMPARISON</t>
        </is>
      </c>
      <c r="J11" s="12" t="inlineStr">
        <is>
          <t>P&amp;L BY TEAM ASSIGNMENT</t>
        </is>
      </c>
    </row>
    <row r="13">
      <c r="B13" s="13" t="inlineStr">
        <is>
          <t>Job Type</t>
        </is>
      </c>
      <c r="C13" s="13" t="inlineStr">
        <is>
          <t>Jobs</t>
        </is>
      </c>
      <c r="D13" s="13" t="inlineStr">
        <is>
          <t>Revenue</t>
        </is>
      </c>
      <c r="E13" s="13" t="inlineStr">
        <is>
          <t>Costs</t>
        </is>
      </c>
      <c r="F13" s="13" t="inlineStr">
        <is>
          <t>Profit</t>
        </is>
      </c>
      <c r="G13" s="13" t="inlineStr">
        <is>
          <t>Margin %</t>
        </is>
      </c>
      <c r="H13" s="13" t="inlineStr">
        <is>
          <t>Avg Value</t>
        </is>
      </c>
      <c r="J13" s="13" t="inlineStr">
        <is>
          <t>Team</t>
        </is>
      </c>
      <c r="K13" s="13" t="inlineStr">
        <is>
          <t>Jobs</t>
        </is>
      </c>
      <c r="L13" s="13" t="inlineStr">
        <is>
          <t>Revenue</t>
        </is>
      </c>
      <c r="M13" s="13" t="inlineStr">
        <is>
          <t>Costs</t>
        </is>
      </c>
      <c r="N13" s="13" t="inlineStr">
        <is>
          <t>Profit</t>
        </is>
      </c>
      <c r="O13" s="13" t="inlineStr">
        <is>
          <t>Margin</t>
        </is>
      </c>
    </row>
    <row r="14">
      <c r="B14" s="14" t="inlineStr">
        <is>
          <t>Enhancement</t>
        </is>
      </c>
      <c r="C14" s="15">
        <f>COUNTIF(Jobs!O:O,"Enhancement")</f>
        <v/>
      </c>
      <c r="D14" s="16">
        <f>SUMIF(Jobs!O:O,"Enhancement",Jobs!L:L)</f>
        <v/>
      </c>
      <c r="E14" s="16">
        <f>SUMIF(Jobs!O:O,"Enhancement",Jobs!K:K)</f>
        <v/>
      </c>
      <c r="F14" s="16">
        <f>D14-E14</f>
        <v/>
      </c>
      <c r="G14" s="17">
        <f>IFERROR(F14/D14,0)</f>
        <v/>
      </c>
      <c r="H14" s="16">
        <f>IFERROR(D14/C14,0)</f>
        <v/>
      </c>
      <c r="J14" s="18" t="inlineStr">
        <is>
          <t>Enhancements</t>
        </is>
      </c>
      <c r="K14" s="15">
        <f>COUNTIF(Jobs!F:F,J14)</f>
        <v/>
      </c>
      <c r="L14" s="16">
        <f>SUMIF(Jobs!F:F,J14,Jobs!L:L)</f>
        <v/>
      </c>
      <c r="M14" s="16">
        <f>SUMIF(Jobs!F:F,J14,Jobs!K:K)</f>
        <v/>
      </c>
      <c r="N14" s="16">
        <f>L14-M14</f>
        <v/>
      </c>
      <c r="O14" s="17">
        <f>IFERROR(N14/L14,0)</f>
        <v/>
      </c>
    </row>
    <row r="15">
      <c r="B15" s="19" t="inlineStr">
        <is>
          <t>Contracted Enhancement</t>
        </is>
      </c>
      <c r="C15" s="15">
        <f>COUNTIF(Jobs!O:O,"Contracted Enhancement")</f>
        <v/>
      </c>
      <c r="D15" s="16">
        <f>SUMIF(Jobs!O:O,"Contracted Enhancement",Jobs!L:L)</f>
        <v/>
      </c>
      <c r="E15" s="16">
        <f>SUMIF(Jobs!O:O,"Contracted Enhancement",Jobs!K:K)</f>
        <v/>
      </c>
      <c r="F15" s="16">
        <f>D15-E15</f>
        <v/>
      </c>
      <c r="G15" s="17">
        <f>IFERROR(F15/D15,0)</f>
        <v/>
      </c>
      <c r="H15" s="16">
        <f>IFERROR(D15/C15,0)</f>
        <v/>
      </c>
      <c r="J15" s="20" t="inlineStr">
        <is>
          <t>C1</t>
        </is>
      </c>
      <c r="K15" s="21">
        <f>COUNTIF(Jobs!F:F,J15)</f>
        <v/>
      </c>
      <c r="L15" s="22">
        <f>SUMIF(Jobs!F:F,J15,Jobs!L:L)</f>
        <v/>
      </c>
      <c r="M15" s="22">
        <f>SUMIF(Jobs!F:F,J15,Jobs!K:K)</f>
        <v/>
      </c>
      <c r="N15" s="22">
        <f>L15-M15</f>
        <v/>
      </c>
      <c r="O15" s="23">
        <f>IFERROR(N15/L15,0)</f>
        <v/>
      </c>
    </row>
    <row r="16">
      <c r="B16" s="24" t="inlineStr">
        <is>
          <t>TOTAL</t>
        </is>
      </c>
      <c r="C16" s="24">
        <f>SUM(C14:C15)</f>
        <v/>
      </c>
      <c r="D16" s="25">
        <f>SUM(D14:D15)</f>
        <v/>
      </c>
      <c r="E16" s="25">
        <f>SUM(E14:E15)</f>
        <v/>
      </c>
      <c r="F16" s="25">
        <f>SUM(F14:F15)</f>
        <v/>
      </c>
      <c r="G16" s="26">
        <f>IFERROR(F16/D16,0)</f>
        <v/>
      </c>
      <c r="H16" s="25">
        <f>IFERROR(D16/C16,0)</f>
        <v/>
      </c>
      <c r="J16" s="18" t="inlineStr">
        <is>
          <t>Unassigned</t>
        </is>
      </c>
      <c r="K16" s="15">
        <f>COUNTIF(Jobs!F:F,J16)</f>
        <v/>
      </c>
      <c r="L16" s="16">
        <f>SUMIF(Jobs!F:F,J16,Jobs!L:L)</f>
        <v/>
      </c>
      <c r="M16" s="16">
        <f>SUMIF(Jobs!F:F,J16,Jobs!K:K)</f>
        <v/>
      </c>
      <c r="N16" s="16">
        <f>L16-M16</f>
        <v/>
      </c>
      <c r="O16" s="17">
        <f>IFERROR(N16/L16,0)</f>
        <v/>
      </c>
    </row>
    <row r="17">
      <c r="J17" s="20" t="inlineStr">
        <is>
          <t>L1</t>
        </is>
      </c>
      <c r="K17" s="21">
        <f>COUNTIF(Jobs!F:F,J17)</f>
        <v/>
      </c>
      <c r="L17" s="22">
        <f>SUMIF(Jobs!F:F,J17,Jobs!L:L)</f>
        <v/>
      </c>
      <c r="M17" s="22">
        <f>SUMIF(Jobs!F:F,J17,Jobs!K:K)</f>
        <v/>
      </c>
      <c r="N17" s="22">
        <f>L17-M17</f>
        <v/>
      </c>
      <c r="O17" s="23">
        <f>IFERROR(N17/L17,0)</f>
        <v/>
      </c>
    </row>
    <row r="18">
      <c r="J18" s="18" t="inlineStr">
        <is>
          <t>Brian Gopar</t>
        </is>
      </c>
      <c r="K18" s="15">
        <f>COUNTIF(Jobs!F:F,J18)</f>
        <v/>
      </c>
      <c r="L18" s="16">
        <f>SUMIF(Jobs!F:F,J18,Jobs!L:L)</f>
        <v/>
      </c>
      <c r="M18" s="16">
        <f>SUMIF(Jobs!F:F,J18,Jobs!K:K)</f>
        <v/>
      </c>
      <c r="N18" s="16">
        <f>L18-M18</f>
        <v/>
      </c>
      <c r="O18" s="17">
        <f>IFERROR(N18/L18,0)</f>
        <v/>
      </c>
    </row>
    <row r="19">
      <c r="B19" s="12" t="inlineStr">
        <is>
          <t>WEEKLY ENHANCEMENT PERFORMANCE</t>
        </is>
      </c>
      <c r="J19" s="20" t="inlineStr">
        <is>
          <t>Sub Contractor</t>
        </is>
      </c>
      <c r="K19" s="21">
        <f>COUNTIF(Jobs!F:F,J19)</f>
        <v/>
      </c>
      <c r="L19" s="22">
        <f>SUMIF(Jobs!F:F,J19,Jobs!L:L)</f>
        <v/>
      </c>
      <c r="M19" s="22">
        <f>SUMIF(Jobs!F:F,J19,Jobs!K:K)</f>
        <v/>
      </c>
      <c r="N19" s="22">
        <f>L19-M19</f>
        <v/>
      </c>
      <c r="O19" s="23">
        <f>IFERROR(N19/L19,0)</f>
        <v/>
      </c>
    </row>
    <row r="20">
      <c r="J20" s="18" t="inlineStr">
        <is>
          <t>Agronomy, Patrick Patterson, and Enhancements</t>
        </is>
      </c>
      <c r="K20" s="15">
        <f>COUNTIF(Jobs!F:F,J20)</f>
        <v/>
      </c>
      <c r="L20" s="16">
        <f>SUMIF(Jobs!F:F,J20,Jobs!L:L)</f>
        <v/>
      </c>
      <c r="M20" s="16">
        <f>SUMIF(Jobs!F:F,J20,Jobs!K:K)</f>
        <v/>
      </c>
      <c r="N20" s="16">
        <f>L20-M20</f>
        <v/>
      </c>
      <c r="O20" s="17">
        <f>IFERROR(N20/L20,0)</f>
        <v/>
      </c>
    </row>
    <row r="21">
      <c r="B21" s="13" t="inlineStr">
        <is>
          <t>Week Starting</t>
        </is>
      </c>
      <c r="C21" s="13" t="inlineStr">
        <is>
          <t>Jobs</t>
        </is>
      </c>
      <c r="D21" s="13" t="inlineStr">
        <is>
          <t>Revenue</t>
        </is>
      </c>
      <c r="E21" s="13" t="inlineStr">
        <is>
          <t>Costs</t>
        </is>
      </c>
      <c r="F21" s="13" t="inlineStr">
        <is>
          <t>Profit</t>
        </is>
      </c>
      <c r="G21" s="13" t="inlineStr">
        <is>
          <t>Margin %</t>
        </is>
      </c>
      <c r="H21" s="13" t="inlineStr">
        <is>
          <t>WoW Delta</t>
        </is>
      </c>
    </row>
    <row r="22">
      <c r="B22" s="15" t="inlineStr">
        <is>
          <t>01/26/2026</t>
        </is>
      </c>
      <c r="C22" s="15" t="n">
        <v>18</v>
      </c>
      <c r="D22" s="16" t="n">
        <v>17312.88</v>
      </c>
      <c r="E22" s="16" t="n">
        <v>3613.69</v>
      </c>
      <c r="F22" s="27" t="n">
        <v>13699.19</v>
      </c>
      <c r="G22" s="17">
        <f>IFERROR(F22/D22,0)</f>
        <v/>
      </c>
      <c r="H22" s="28">
        <f>IFERROR((D22-D23)/ABS(D23),0)</f>
        <v/>
      </c>
    </row>
    <row r="23">
      <c r="B23" s="21" t="inlineStr">
        <is>
          <t>01/19/2026</t>
        </is>
      </c>
      <c r="C23" s="21" t="n">
        <v>1</v>
      </c>
      <c r="D23" s="22" t="n">
        <v>0</v>
      </c>
      <c r="E23" s="22" t="n">
        <v>0</v>
      </c>
      <c r="F23" s="29" t="n">
        <v>0</v>
      </c>
      <c r="G23" s="23">
        <f>IFERROR(F23/D23,0)</f>
        <v/>
      </c>
      <c r="H23" s="30">
        <f>IFERROR((D23-D24)/ABS(D24),0)</f>
        <v/>
      </c>
      <c r="J23" s="12" t="inlineStr">
        <is>
          <t>ENHANCEMENT INVOICE STATUS</t>
        </is>
      </c>
    </row>
    <row r="24">
      <c r="B24" s="15" t="inlineStr">
        <is>
          <t>01/12/2026</t>
        </is>
      </c>
      <c r="C24" s="15" t="n">
        <v>6</v>
      </c>
      <c r="D24" s="16" t="n">
        <v>8092.88</v>
      </c>
      <c r="E24" s="16" t="n">
        <v>13370.41</v>
      </c>
      <c r="F24" s="31" t="n">
        <v>-5277.530000000001</v>
      </c>
      <c r="G24" s="17">
        <f>IFERROR(F24/D24,0)</f>
        <v/>
      </c>
      <c r="H24" s="28">
        <f>IFERROR((D24-D25)/ABS(D25),0)</f>
        <v/>
      </c>
    </row>
    <row r="25">
      <c r="B25" s="21" t="inlineStr">
        <is>
          <t>01/05/2026</t>
        </is>
      </c>
      <c r="C25" s="21" t="n">
        <v>5</v>
      </c>
      <c r="D25" s="22" t="n">
        <v>9999.99</v>
      </c>
      <c r="E25" s="22" t="n">
        <v>5012.63</v>
      </c>
      <c r="F25" s="29" t="n">
        <v>4987.360000000001</v>
      </c>
      <c r="G25" s="23">
        <f>IFERROR(F25/D25,0)</f>
        <v/>
      </c>
      <c r="H25" s="30" t="n">
        <v>0</v>
      </c>
      <c r="J25" s="13" t="inlineStr">
        <is>
          <t>Status</t>
        </is>
      </c>
      <c r="K25" s="13" t="inlineStr">
        <is>
          <t>Count</t>
        </is>
      </c>
      <c r="L25" s="13" t="inlineStr">
        <is>
          <t>Amount</t>
        </is>
      </c>
      <c r="M25" s="13" t="inlineStr">
        <is>
          <t>% Total</t>
        </is>
      </c>
      <c r="N25" s="13" t="inlineStr">
        <is>
          <t>Avg Inv</t>
        </is>
      </c>
    </row>
    <row r="26">
      <c r="B26" s="24" t="inlineStr">
        <is>
          <t>TOTAL</t>
        </is>
      </c>
      <c r="C26" s="24">
        <f>SUM(C22:C25)</f>
        <v/>
      </c>
      <c r="D26" s="25">
        <f>SUM(D22:D25)</f>
        <v/>
      </c>
      <c r="E26" s="25">
        <f>SUM(E22:E25)</f>
        <v/>
      </c>
      <c r="F26" s="25">
        <f>SUM(F22:F25)</f>
        <v/>
      </c>
      <c r="G26" s="32">
        <f>IFERROR(F26/D26,0)</f>
        <v/>
      </c>
      <c r="H26" s="24" t="n"/>
      <c r="J26" s="33" t="inlineStr">
        <is>
          <t>Paid</t>
        </is>
      </c>
      <c r="K26" s="15">
        <f>COUNTIF(Invoices!K:K,"Paid")</f>
        <v/>
      </c>
      <c r="L26" s="16">
        <f>SUMIF(Invoices!K:K,"Paid",Invoices!L:L)</f>
        <v/>
      </c>
      <c r="M26" s="17">
        <f>IFERROR(L26/SUM(Invoices!L:L),0)</f>
        <v/>
      </c>
      <c r="N26" s="16">
        <f>IFERROR(L26/K26,0)</f>
        <v/>
      </c>
    </row>
    <row r="27">
      <c r="J27" s="34" t="inlineStr">
        <is>
          <t>Awaiting Payment</t>
        </is>
      </c>
      <c r="K27" s="15">
        <f>COUNTIF(Invoices!K:K,"Awaiting Payment")</f>
        <v/>
      </c>
      <c r="L27" s="16">
        <f>SUMIF(Invoices!K:K,"Awaiting Payment",Invoices!M:M)</f>
        <v/>
      </c>
      <c r="M27" s="17">
        <f>IFERROR(L27/SUM(Invoices!L:L),0)</f>
        <v/>
      </c>
      <c r="N27" s="16">
        <f>IFERROR(L27/K27,0)</f>
        <v/>
      </c>
    </row>
    <row r="28">
      <c r="J28" s="35" t="inlineStr">
        <is>
          <t>Past Due</t>
        </is>
      </c>
      <c r="K28" s="15">
        <f>COUNTIF(Invoices!K:K,"Past Due")</f>
        <v/>
      </c>
      <c r="L28" s="16">
        <f>SUMIF(Invoices!K:K,"Past Due",Invoices!M:M)</f>
        <v/>
      </c>
      <c r="M28" s="17">
        <f>IFERROR(L28/SUM(Invoices!L:L),0)</f>
        <v/>
      </c>
      <c r="N28" s="16">
        <f>IFERROR(L28/K28,0)</f>
        <v/>
      </c>
    </row>
  </sheetData>
  <mergeCells count="6">
    <mergeCell ref="B2:N2"/>
    <mergeCell ref="B19:H19"/>
    <mergeCell ref="J23:O23"/>
    <mergeCell ref="B11:H11"/>
    <mergeCell ref="B3:N3"/>
    <mergeCell ref="J11:O11"/>
  </mergeCells>
  <conditionalFormatting sqref="N14:N20">
    <cfRule type="expression" priority="1" dxfId="0">
      <formula>$N14&gt;0</formula>
    </cfRule>
    <cfRule type="expression" priority="2" dxfId="1">
      <formula>$N14&lt;0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J9"/>
  <sheetViews>
    <sheetView workbookViewId="0">
      <pane xSplit="1" ySplit="5" topLeftCell="B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5" customWidth="1" min="2" max="2"/>
    <col width="10" customWidth="1" min="3" max="3"/>
    <col width="10" customWidth="1" min="4" max="4"/>
    <col width="14" customWidth="1" min="5" max="5"/>
    <col width="14" customWidth="1" min="6" max="6"/>
    <col width="14" customWidth="1" min="7" max="7"/>
    <col width="12" customWidth="1" min="8" max="8"/>
    <col width="12" customWidth="1" min="9" max="9"/>
    <col width="12" customWidth="1" min="10" max="10"/>
  </cols>
  <sheetData>
    <row r="2">
      <c r="B2" s="1" t="inlineStr">
        <is>
          <t>WEEKLY ENHANCEMENT PERFORMANCE TRENDS</t>
        </is>
      </c>
    </row>
    <row r="3">
      <c r="B3" s="36" t="inlineStr">
        <is>
          <t>Week-over-week analysis for Enhancement and Contracted Enhancement jobs</t>
        </is>
      </c>
    </row>
    <row r="5">
      <c r="B5" s="37" t="inlineStr">
        <is>
          <t>Week Start</t>
        </is>
      </c>
      <c r="C5" s="37" t="inlineStr">
        <is>
          <t>Enh</t>
        </is>
      </c>
      <c r="D5" s="37" t="inlineStr">
        <is>
          <t>Contr</t>
        </is>
      </c>
      <c r="E5" s="37" t="inlineStr">
        <is>
          <t>Revenue</t>
        </is>
      </c>
      <c r="F5" s="37" t="inlineStr">
        <is>
          <t>Costs</t>
        </is>
      </c>
      <c r="G5" s="37" t="inlineStr">
        <is>
          <t>Profit</t>
        </is>
      </c>
      <c r="H5" s="37" t="inlineStr">
        <is>
          <t>Margin</t>
        </is>
      </c>
      <c r="I5" s="37" t="inlineStr">
        <is>
          <t>Rev WoW</t>
        </is>
      </c>
      <c r="J5" s="37" t="inlineStr">
        <is>
          <t>Profit WoW</t>
        </is>
      </c>
    </row>
    <row r="6">
      <c r="B6" s="15" t="inlineStr">
        <is>
          <t>01/26/2026</t>
        </is>
      </c>
      <c r="C6" s="38" t="n">
        <v>18</v>
      </c>
      <c r="D6" s="39" t="n">
        <v>0</v>
      </c>
      <c r="E6" s="16" t="n">
        <v>17312.88</v>
      </c>
      <c r="F6" s="16" t="n">
        <v>3613.69</v>
      </c>
      <c r="G6" s="27" t="n">
        <v>13699.19</v>
      </c>
      <c r="H6" s="17">
        <f>IFERROR(G6/E6,0)</f>
        <v/>
      </c>
      <c r="I6" s="28">
        <f>IFERROR((E6-E7)/ABS(E7),0)</f>
        <v/>
      </c>
      <c r="J6" s="28">
        <f>IFERROR((G6-G7)/ABS(G7),0)</f>
        <v/>
      </c>
    </row>
    <row r="7">
      <c r="B7" s="21" t="inlineStr">
        <is>
          <t>01/19/2026</t>
        </is>
      </c>
      <c r="C7" s="38" t="n">
        <v>1</v>
      </c>
      <c r="D7" s="39" t="n">
        <v>0</v>
      </c>
      <c r="E7" s="22" t="n">
        <v>0</v>
      </c>
      <c r="F7" s="22" t="n">
        <v>0</v>
      </c>
      <c r="G7" s="29" t="n">
        <v>0</v>
      </c>
      <c r="H7" s="23">
        <f>IFERROR(G7/E7,0)</f>
        <v/>
      </c>
      <c r="I7" s="30">
        <f>IFERROR((E7-E8)/ABS(E8),0)</f>
        <v/>
      </c>
      <c r="J7" s="30">
        <f>IFERROR((G7-G8)/ABS(G8),0)</f>
        <v/>
      </c>
    </row>
    <row r="8">
      <c r="B8" s="15" t="inlineStr">
        <is>
          <t>01/12/2026</t>
        </is>
      </c>
      <c r="C8" s="38" t="n">
        <v>6</v>
      </c>
      <c r="D8" s="39" t="n">
        <v>0</v>
      </c>
      <c r="E8" s="16" t="n">
        <v>8092.88</v>
      </c>
      <c r="F8" s="16" t="n">
        <v>13370.41</v>
      </c>
      <c r="G8" s="31" t="n">
        <v>-5277.530000000001</v>
      </c>
      <c r="H8" s="17">
        <f>IFERROR(G8/E8,0)</f>
        <v/>
      </c>
      <c r="I8" s="28">
        <f>IFERROR((E8-E9)/ABS(E9),0)</f>
        <v/>
      </c>
      <c r="J8" s="28">
        <f>IFERROR((G8-G9)/ABS(G9),0)</f>
        <v/>
      </c>
    </row>
    <row r="9">
      <c r="B9" s="21" t="inlineStr">
        <is>
          <t>01/05/2026</t>
        </is>
      </c>
      <c r="C9" s="38" t="n">
        <v>4</v>
      </c>
      <c r="D9" s="39" t="n">
        <v>1</v>
      </c>
      <c r="E9" s="22" t="n">
        <v>9999.99</v>
      </c>
      <c r="F9" s="22" t="n">
        <v>5012.63</v>
      </c>
      <c r="G9" s="29" t="n">
        <v>4987.360000000001</v>
      </c>
      <c r="H9" s="23">
        <f>IFERROR(G9/E9,0)</f>
        <v/>
      </c>
      <c r="I9" s="30" t="n">
        <v>0</v>
      </c>
      <c r="J9" s="30" t="n">
        <v>0</v>
      </c>
    </row>
  </sheetData>
  <mergeCells count="2">
    <mergeCell ref="B3:J3"/>
    <mergeCell ref="B2:J2"/>
  </mergeCells>
  <conditionalFormatting sqref="E6:E9">
    <cfRule type="dataBar" priority="1">
      <dataBar showValue="1">
        <cfvo type="num" val="0"/>
        <cfvo type="max"/>
        <color rgb="005B9BD5"/>
      </dataBar>
    </cfRule>
  </conditionalFormatting>
  <conditionalFormatting sqref="I6:J9">
    <cfRule type="expression" priority="2" dxfId="0">
      <formula>I6&gt;0</formula>
    </cfRule>
    <cfRule type="expression" priority="3" dxfId="1">
      <formula>I6&lt;0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7" customWidth="1" min="1" max="1"/>
    <col width="21" customWidth="1" min="2" max="2"/>
    <col width="22" customWidth="1" min="3" max="3"/>
    <col width="13" customWidth="1" min="4" max="4"/>
    <col width="15" customWidth="1" min="5" max="5"/>
    <col width="25" customWidth="1" min="6" max="6"/>
    <col width="12" customWidth="1" min="7" max="7"/>
    <col width="20" customWidth="1" min="8" max="8"/>
    <col width="14" customWidth="1" min="9" max="9"/>
    <col width="23" customWidth="1" min="10" max="10"/>
    <col width="17" customWidth="1" min="11" max="11"/>
    <col width="19" customWidth="1" min="12" max="12"/>
    <col width="12" customWidth="1" min="13" max="13"/>
    <col width="10" customWidth="1" min="14" max="14"/>
    <col width="24" customWidth="1" min="15" max="15"/>
    <col width="6" customWidth="1" min="16" max="16"/>
    <col width="6" customWidth="1" min="17" max="17"/>
    <col width="12" customWidth="1" min="18" max="18"/>
    <col width="25" customWidth="1" min="19" max="19"/>
  </cols>
  <sheetData>
    <row r="1">
      <c r="A1" s="37" t="inlineStr">
        <is>
          <t>Job #</t>
        </is>
      </c>
      <c r="B1" s="37" t="inlineStr">
        <is>
          <t>Client name</t>
        </is>
      </c>
      <c r="C1" s="37" t="inlineStr">
        <is>
          <t>Scheduled start date</t>
        </is>
      </c>
      <c r="D1" s="37" t="inlineStr">
        <is>
          <t>Closed date</t>
        </is>
      </c>
      <c r="E1" s="37" t="inlineStr">
        <is>
          <t>Salesperson</t>
        </is>
      </c>
      <c r="F1" s="37" t="inlineStr">
        <is>
          <t>Visits assigned to</t>
        </is>
      </c>
      <c r="G1" s="37" t="inlineStr">
        <is>
          <t>Invoice #s</t>
        </is>
      </c>
      <c r="H1" s="37" t="inlineStr">
        <is>
          <t>Expenses total ($)</t>
        </is>
      </c>
      <c r="I1" s="37" t="inlineStr">
        <is>
          <t>Time tracked</t>
        </is>
      </c>
      <c r="J1" s="37" t="inlineStr">
        <is>
          <t>Labour cost total ($)</t>
        </is>
      </c>
      <c r="K1" s="37" t="inlineStr">
        <is>
          <t>Total costs ($)</t>
        </is>
      </c>
      <c r="L1" s="37" t="inlineStr">
        <is>
          <t>Total revenue ($)</t>
        </is>
      </c>
      <c r="M1" s="37" t="inlineStr">
        <is>
          <t>Profit ($)</t>
        </is>
      </c>
      <c r="N1" s="37" t="inlineStr">
        <is>
          <t>Profit %</t>
        </is>
      </c>
      <c r="O1" s="37" t="inlineStr">
        <is>
          <t>Job Type</t>
        </is>
      </c>
      <c r="P1" s="37" t="inlineStr">
        <is>
          <t>Week</t>
        </is>
      </c>
      <c r="Q1" s="37" t="inlineStr">
        <is>
          <t>Year</t>
        </is>
      </c>
      <c r="R1" s="37" t="inlineStr">
        <is>
          <t>Week_Start</t>
        </is>
      </c>
      <c r="S1" s="40" t="inlineStr">
        <is>
          <t>Status</t>
        </is>
      </c>
    </row>
    <row r="2">
      <c r="A2" s="41" t="n">
        <v>11652</v>
      </c>
      <c r="B2" s="41" t="inlineStr">
        <is>
          <t>Comcast Corporation</t>
        </is>
      </c>
      <c r="C2" s="41" t="inlineStr">
        <is>
          <t>01/31/2026</t>
        </is>
      </c>
      <c r="D2" s="41" t="inlineStr">
        <is>
          <t>01/31/2026</t>
        </is>
      </c>
      <c r="E2" s="41" t="inlineStr">
        <is>
          <t>Alex Martinez</t>
        </is>
      </c>
      <c r="F2" s="41" t="inlineStr">
        <is>
          <t>Enhancements</t>
        </is>
      </c>
      <c r="G2" s="41" t="inlineStr"/>
      <c r="H2" s="42" t="n">
        <v>0</v>
      </c>
      <c r="I2" s="41" t="n">
        <v>0.27</v>
      </c>
      <c r="J2" s="42" t="n">
        <v>0</v>
      </c>
      <c r="K2" s="42" t="n">
        <v>0</v>
      </c>
      <c r="L2" s="42" t="n">
        <v>895.9299999999999</v>
      </c>
      <c r="M2" s="42" t="n">
        <v>895.9299999999999</v>
      </c>
      <c r="N2" s="43" t="n">
        <v>100</v>
      </c>
      <c r="O2" s="44" t="inlineStr">
        <is>
          <t>Enhancement</t>
        </is>
      </c>
      <c r="P2" s="41" t="n">
        <v>5</v>
      </c>
      <c r="Q2" s="41" t="n">
        <v>2026</v>
      </c>
      <c r="R2" s="41" t="inlineStr">
        <is>
          <t>01/26/2026</t>
        </is>
      </c>
      <c r="S2" s="18">
        <f>IF(M2&gt;0,"Profitable",IF(M2&lt;0,"Loss","Break-even"))</f>
        <v/>
      </c>
    </row>
    <row r="3">
      <c r="A3" s="45" t="n">
        <v>11651</v>
      </c>
      <c r="B3" s="45" t="inlineStr">
        <is>
          <t>Comcast Corporation</t>
        </is>
      </c>
      <c r="C3" s="45" t="inlineStr">
        <is>
          <t>01/31/2026</t>
        </is>
      </c>
      <c r="D3" s="45" t="inlineStr">
        <is>
          <t>01/31/2026</t>
        </is>
      </c>
      <c r="E3" s="45" t="inlineStr">
        <is>
          <t>Alex Martinez</t>
        </is>
      </c>
      <c r="F3" s="45" t="inlineStr">
        <is>
          <t>Enhancements</t>
        </is>
      </c>
      <c r="G3" s="45" t="inlineStr"/>
      <c r="H3" s="46" t="n">
        <v>0</v>
      </c>
      <c r="I3" s="45" t="n">
        <v>0.37</v>
      </c>
      <c r="J3" s="46" t="n">
        <v>0</v>
      </c>
      <c r="K3" s="46" t="n">
        <v>0</v>
      </c>
      <c r="L3" s="46" t="n">
        <v>895.9299999999999</v>
      </c>
      <c r="M3" s="46" t="n">
        <v>895.9299999999999</v>
      </c>
      <c r="N3" s="47" t="n">
        <v>100</v>
      </c>
      <c r="O3" s="44" t="inlineStr">
        <is>
          <t>Enhancement</t>
        </is>
      </c>
      <c r="P3" s="45" t="n">
        <v>5</v>
      </c>
      <c r="Q3" s="45" t="n">
        <v>2026</v>
      </c>
      <c r="R3" s="45" t="inlineStr">
        <is>
          <t>01/26/2026</t>
        </is>
      </c>
      <c r="S3" s="18">
        <f>IF(M3&gt;0,"Profitable",IF(M3&lt;0,"Loss","Break-even"))</f>
        <v/>
      </c>
    </row>
    <row r="4">
      <c r="A4" s="41" t="n">
        <v>11650</v>
      </c>
      <c r="B4" s="41" t="inlineStr">
        <is>
          <t>Comcast Corporation</t>
        </is>
      </c>
      <c r="C4" s="41" t="inlineStr">
        <is>
          <t>01/31/2026</t>
        </is>
      </c>
      <c r="D4" s="41" t="inlineStr">
        <is>
          <t>01/31/2026</t>
        </is>
      </c>
      <c r="E4" s="41" t="inlineStr">
        <is>
          <t>Alex Martinez</t>
        </is>
      </c>
      <c r="F4" s="41" t="inlineStr">
        <is>
          <t>Enhancements</t>
        </is>
      </c>
      <c r="G4" s="41" t="inlineStr"/>
      <c r="H4" s="42" t="n">
        <v>0</v>
      </c>
      <c r="I4" s="41" t="n">
        <v>0.47</v>
      </c>
      <c r="J4" s="42" t="n">
        <v>0</v>
      </c>
      <c r="K4" s="42" t="n">
        <v>0</v>
      </c>
      <c r="L4" s="42" t="n">
        <v>895.9299999999999</v>
      </c>
      <c r="M4" s="42" t="n">
        <v>895.9299999999999</v>
      </c>
      <c r="N4" s="43" t="n">
        <v>100</v>
      </c>
      <c r="O4" s="44" t="inlineStr">
        <is>
          <t>Enhancement</t>
        </is>
      </c>
      <c r="P4" s="41" t="n">
        <v>5</v>
      </c>
      <c r="Q4" s="41" t="n">
        <v>2026</v>
      </c>
      <c r="R4" s="41" t="inlineStr">
        <is>
          <t>01/26/2026</t>
        </is>
      </c>
      <c r="S4" s="18">
        <f>IF(M4&gt;0,"Profitable",IF(M4&lt;0,"Loss","Break-even"))</f>
        <v/>
      </c>
    </row>
    <row r="5">
      <c r="A5" s="45" t="n">
        <v>11649</v>
      </c>
      <c r="B5" s="45" t="inlineStr">
        <is>
          <t>Comcast Corporation</t>
        </is>
      </c>
      <c r="C5" s="45" t="inlineStr">
        <is>
          <t>01/31/2026</t>
        </is>
      </c>
      <c r="D5" s="45" t="inlineStr">
        <is>
          <t>01/31/2026</t>
        </is>
      </c>
      <c r="E5" s="45" t="inlineStr">
        <is>
          <t>Alex Martinez</t>
        </is>
      </c>
      <c r="F5" s="45" t="inlineStr">
        <is>
          <t>C1</t>
        </is>
      </c>
      <c r="G5" s="45" t="inlineStr"/>
      <c r="H5" s="46" t="n">
        <v>0</v>
      </c>
      <c r="I5" s="45" t="n">
        <v>0</v>
      </c>
      <c r="J5" s="46" t="n">
        <v>0</v>
      </c>
      <c r="K5" s="46" t="n">
        <v>0</v>
      </c>
      <c r="L5" s="46" t="n">
        <v>895.9299999999999</v>
      </c>
      <c r="M5" s="46" t="n">
        <v>895.9299999999999</v>
      </c>
      <c r="N5" s="47" t="n">
        <v>100</v>
      </c>
      <c r="O5" s="44" t="inlineStr">
        <is>
          <t>Enhancement</t>
        </is>
      </c>
      <c r="P5" s="45" t="n">
        <v>5</v>
      </c>
      <c r="Q5" s="45" t="n">
        <v>2026</v>
      </c>
      <c r="R5" s="45" t="inlineStr">
        <is>
          <t>01/26/2026</t>
        </is>
      </c>
      <c r="S5" s="18">
        <f>IF(M5&gt;0,"Profitable",IF(M5&lt;0,"Loss","Break-even"))</f>
        <v/>
      </c>
    </row>
    <row r="6">
      <c r="A6" s="41" t="n">
        <v>11648</v>
      </c>
      <c r="B6" s="41" t="inlineStr">
        <is>
          <t>Comcast Corporation</t>
        </is>
      </c>
      <c r="C6" s="41" t="inlineStr">
        <is>
          <t>01/31/2026</t>
        </is>
      </c>
      <c r="D6" s="41" t="inlineStr">
        <is>
          <t>01/31/2026</t>
        </is>
      </c>
      <c r="E6" s="41" t="inlineStr">
        <is>
          <t>Alex Martinez</t>
        </is>
      </c>
      <c r="F6" s="41" t="inlineStr">
        <is>
          <t>Enhancements</t>
        </is>
      </c>
      <c r="G6" s="41" t="inlineStr"/>
      <c r="H6" s="42" t="n">
        <v>0</v>
      </c>
      <c r="I6" s="41" t="n">
        <v>0.35</v>
      </c>
      <c r="J6" s="42" t="n">
        <v>0</v>
      </c>
      <c r="K6" s="42" t="n">
        <v>0</v>
      </c>
      <c r="L6" s="42" t="n">
        <v>895.9299999999999</v>
      </c>
      <c r="M6" s="42" t="n">
        <v>895.9299999999999</v>
      </c>
      <c r="N6" s="43" t="n">
        <v>100</v>
      </c>
      <c r="O6" s="44" t="inlineStr">
        <is>
          <t>Enhancement</t>
        </is>
      </c>
      <c r="P6" s="41" t="n">
        <v>5</v>
      </c>
      <c r="Q6" s="41" t="n">
        <v>2026</v>
      </c>
      <c r="R6" s="41" t="inlineStr">
        <is>
          <t>01/26/2026</t>
        </is>
      </c>
      <c r="S6" s="18">
        <f>IF(M6&gt;0,"Profitable",IF(M6&lt;0,"Loss","Break-even"))</f>
        <v/>
      </c>
    </row>
    <row r="7">
      <c r="A7" s="45" t="n">
        <v>11647</v>
      </c>
      <c r="B7" s="45" t="inlineStr">
        <is>
          <t>Comcast Corporation</t>
        </is>
      </c>
      <c r="C7" s="45" t="inlineStr">
        <is>
          <t>01/31/2026</t>
        </is>
      </c>
      <c r="D7" s="45" t="inlineStr">
        <is>
          <t>01/31/2026</t>
        </is>
      </c>
      <c r="E7" s="45" t="inlineStr">
        <is>
          <t>Alex Martinez</t>
        </is>
      </c>
      <c r="F7" s="45" t="inlineStr">
        <is>
          <t>Enhancements</t>
        </is>
      </c>
      <c r="G7" s="45" t="inlineStr"/>
      <c r="H7" s="46" t="n">
        <v>0</v>
      </c>
      <c r="I7" s="45" t="n">
        <v>0.57</v>
      </c>
      <c r="J7" s="46" t="n">
        <v>0</v>
      </c>
      <c r="K7" s="46" t="n">
        <v>0</v>
      </c>
      <c r="L7" s="46" t="n">
        <v>895.9299999999999</v>
      </c>
      <c r="M7" s="46" t="n">
        <v>895.9299999999999</v>
      </c>
      <c r="N7" s="47" t="n">
        <v>100</v>
      </c>
      <c r="O7" s="44" t="inlineStr">
        <is>
          <t>Enhancement</t>
        </is>
      </c>
      <c r="P7" s="45" t="n">
        <v>5</v>
      </c>
      <c r="Q7" s="45" t="n">
        <v>2026</v>
      </c>
      <c r="R7" s="45" t="inlineStr">
        <is>
          <t>01/26/2026</t>
        </is>
      </c>
      <c r="S7" s="18">
        <f>IF(M7&gt;0,"Profitable",IF(M7&lt;0,"Loss","Break-even"))</f>
        <v/>
      </c>
    </row>
    <row r="8">
      <c r="A8" s="41" t="n">
        <v>11646</v>
      </c>
      <c r="B8" s="41" t="inlineStr">
        <is>
          <t>Comcast Corporation</t>
        </is>
      </c>
      <c r="C8" s="41" t="inlineStr">
        <is>
          <t>01/31/2026</t>
        </is>
      </c>
      <c r="D8" s="41" t="inlineStr">
        <is>
          <t>01/31/2026</t>
        </is>
      </c>
      <c r="E8" s="41" t="inlineStr">
        <is>
          <t>Alex Martinez</t>
        </is>
      </c>
      <c r="F8" s="41" t="inlineStr">
        <is>
          <t>Enhancements</t>
        </is>
      </c>
      <c r="G8" s="41" t="inlineStr"/>
      <c r="H8" s="42" t="n">
        <v>0</v>
      </c>
      <c r="I8" s="41" t="n">
        <v>0.22</v>
      </c>
      <c r="J8" s="42" t="n">
        <v>0</v>
      </c>
      <c r="K8" s="42" t="n">
        <v>0</v>
      </c>
      <c r="L8" s="42" t="n">
        <v>895.9299999999999</v>
      </c>
      <c r="M8" s="42" t="n">
        <v>895.9299999999999</v>
      </c>
      <c r="N8" s="43" t="n">
        <v>100</v>
      </c>
      <c r="O8" s="44" t="inlineStr">
        <is>
          <t>Enhancement</t>
        </is>
      </c>
      <c r="P8" s="41" t="n">
        <v>5</v>
      </c>
      <c r="Q8" s="41" t="n">
        <v>2026</v>
      </c>
      <c r="R8" s="41" t="inlineStr">
        <is>
          <t>01/26/2026</t>
        </is>
      </c>
      <c r="S8" s="18">
        <f>IF(M8&gt;0,"Profitable",IF(M8&lt;0,"Loss","Break-even"))</f>
        <v/>
      </c>
    </row>
    <row r="9">
      <c r="A9" s="45" t="n">
        <v>11645</v>
      </c>
      <c r="B9" s="45" t="inlineStr">
        <is>
          <t>Comcast Corporation</t>
        </is>
      </c>
      <c r="C9" s="45" t="inlineStr">
        <is>
          <t>01/31/2026</t>
        </is>
      </c>
      <c r="D9" s="45" t="inlineStr">
        <is>
          <t>01/31/2026</t>
        </is>
      </c>
      <c r="E9" s="45" t="inlineStr">
        <is>
          <t>Alex Martinez</t>
        </is>
      </c>
      <c r="F9" s="45" t="inlineStr">
        <is>
          <t>Enhancements</t>
        </is>
      </c>
      <c r="G9" s="45" t="inlineStr"/>
      <c r="H9" s="46" t="n">
        <v>0</v>
      </c>
      <c r="I9" s="45" t="n">
        <v>0.18</v>
      </c>
      <c r="J9" s="46" t="n">
        <v>0</v>
      </c>
      <c r="K9" s="46" t="n">
        <v>0</v>
      </c>
      <c r="L9" s="46" t="n">
        <v>895.9299999999999</v>
      </c>
      <c r="M9" s="46" t="n">
        <v>895.9299999999999</v>
      </c>
      <c r="N9" s="47" t="n">
        <v>100</v>
      </c>
      <c r="O9" s="44" t="inlineStr">
        <is>
          <t>Enhancement</t>
        </is>
      </c>
      <c r="P9" s="45" t="n">
        <v>5</v>
      </c>
      <c r="Q9" s="45" t="n">
        <v>2026</v>
      </c>
      <c r="R9" s="45" t="inlineStr">
        <is>
          <t>01/26/2026</t>
        </is>
      </c>
      <c r="S9" s="18">
        <f>IF(M9&gt;0,"Profitable",IF(M9&lt;0,"Loss","Break-even"))</f>
        <v/>
      </c>
    </row>
    <row r="10">
      <c r="A10" s="41" t="n">
        <v>11644</v>
      </c>
      <c r="B10" s="41" t="inlineStr">
        <is>
          <t>Comcast Corporation</t>
        </is>
      </c>
      <c r="C10" s="41" t="inlineStr">
        <is>
          <t>01/31/2026</t>
        </is>
      </c>
      <c r="D10" s="41" t="inlineStr"/>
      <c r="E10" s="41" t="inlineStr">
        <is>
          <t>Alex Martinez</t>
        </is>
      </c>
      <c r="F10" s="41" t="inlineStr">
        <is>
          <t>C1</t>
        </is>
      </c>
      <c r="G10" s="41" t="inlineStr"/>
      <c r="H10" s="42" t="n">
        <v>0</v>
      </c>
      <c r="I10" s="41" t="n">
        <v>0</v>
      </c>
      <c r="J10" s="42" t="n">
        <v>0</v>
      </c>
      <c r="K10" s="42" t="n">
        <v>0</v>
      </c>
      <c r="L10" s="42" t="n">
        <v>895.9299999999999</v>
      </c>
      <c r="M10" s="42" t="n">
        <v>895.9299999999999</v>
      </c>
      <c r="N10" s="43" t="n">
        <v>100</v>
      </c>
      <c r="O10" s="44" t="inlineStr">
        <is>
          <t>Enhancement</t>
        </is>
      </c>
      <c r="P10" s="41" t="n">
        <v>5</v>
      </c>
      <c r="Q10" s="41" t="n">
        <v>2026</v>
      </c>
      <c r="R10" s="41" t="inlineStr">
        <is>
          <t>01/26/2026</t>
        </is>
      </c>
      <c r="S10" s="18">
        <f>IF(M10&gt;0,"Profitable",IF(M10&lt;0,"Loss","Break-even"))</f>
        <v/>
      </c>
    </row>
    <row r="11">
      <c r="A11" s="45" t="n">
        <v>11643</v>
      </c>
      <c r="B11" s="45" t="inlineStr">
        <is>
          <t>Comcast Corporation</t>
        </is>
      </c>
      <c r="C11" s="45" t="inlineStr">
        <is>
          <t>01/31/2026</t>
        </is>
      </c>
      <c r="D11" s="45" t="inlineStr">
        <is>
          <t>01/31/2026</t>
        </is>
      </c>
      <c r="E11" s="45" t="inlineStr">
        <is>
          <t>Alex Martinez</t>
        </is>
      </c>
      <c r="F11" s="45" t="inlineStr">
        <is>
          <t>C1</t>
        </is>
      </c>
      <c r="G11" s="45" t="inlineStr"/>
      <c r="H11" s="46" t="n">
        <v>0</v>
      </c>
      <c r="I11" s="45" t="n">
        <v>0</v>
      </c>
      <c r="J11" s="46" t="n">
        <v>0</v>
      </c>
      <c r="K11" s="46" t="n">
        <v>0</v>
      </c>
      <c r="L11" s="46" t="n">
        <v>895.9299999999999</v>
      </c>
      <c r="M11" s="46" t="n">
        <v>895.9299999999999</v>
      </c>
      <c r="N11" s="47" t="n">
        <v>100</v>
      </c>
      <c r="O11" s="44" t="inlineStr">
        <is>
          <t>Enhancement</t>
        </is>
      </c>
      <c r="P11" s="45" t="n">
        <v>5</v>
      </c>
      <c r="Q11" s="45" t="n">
        <v>2026</v>
      </c>
      <c r="R11" s="45" t="inlineStr">
        <is>
          <t>01/26/2026</t>
        </is>
      </c>
      <c r="S11" s="18">
        <f>IF(M11&gt;0,"Profitable",IF(M11&lt;0,"Loss","Break-even"))</f>
        <v/>
      </c>
    </row>
    <row r="12">
      <c r="A12" s="41" t="n">
        <v>11642</v>
      </c>
      <c r="B12" s="41" t="inlineStr">
        <is>
          <t>Comcast Corporation</t>
        </is>
      </c>
      <c r="C12" s="41" t="inlineStr">
        <is>
          <t>01/31/2026</t>
        </is>
      </c>
      <c r="D12" s="41" t="inlineStr">
        <is>
          <t>01/31/2026</t>
        </is>
      </c>
      <c r="E12" s="41" t="inlineStr">
        <is>
          <t>Alex Martinez</t>
        </is>
      </c>
      <c r="F12" s="41" t="inlineStr">
        <is>
          <t>C1</t>
        </is>
      </c>
      <c r="G12" s="41" t="inlineStr"/>
      <c r="H12" s="42" t="n">
        <v>0</v>
      </c>
      <c r="I12" s="41" t="n">
        <v>0</v>
      </c>
      <c r="J12" s="42" t="n">
        <v>0</v>
      </c>
      <c r="K12" s="42" t="n">
        <v>0</v>
      </c>
      <c r="L12" s="42" t="n">
        <v>895.9299999999999</v>
      </c>
      <c r="M12" s="42" t="n">
        <v>895.9299999999999</v>
      </c>
      <c r="N12" s="43" t="n">
        <v>100</v>
      </c>
      <c r="O12" s="44" t="inlineStr">
        <is>
          <t>Enhancement</t>
        </is>
      </c>
      <c r="P12" s="41" t="n">
        <v>5</v>
      </c>
      <c r="Q12" s="41" t="n">
        <v>2026</v>
      </c>
      <c r="R12" s="41" t="inlineStr">
        <is>
          <t>01/26/2026</t>
        </is>
      </c>
      <c r="S12" s="18">
        <f>IF(M12&gt;0,"Profitable",IF(M12&lt;0,"Loss","Break-even"))</f>
        <v/>
      </c>
    </row>
    <row r="13">
      <c r="A13" s="45" t="n">
        <v>11641</v>
      </c>
      <c r="B13" s="45" t="inlineStr">
        <is>
          <t>Comcast Corporation</t>
        </is>
      </c>
      <c r="C13" s="45" t="inlineStr">
        <is>
          <t>01/31/2026</t>
        </is>
      </c>
      <c r="D13" s="45" t="inlineStr">
        <is>
          <t>01/31/2026</t>
        </is>
      </c>
      <c r="E13" s="45" t="inlineStr">
        <is>
          <t>Alex Martinez</t>
        </is>
      </c>
      <c r="F13" s="45" t="inlineStr">
        <is>
          <t>C1</t>
        </is>
      </c>
      <c r="G13" s="45" t="inlineStr"/>
      <c r="H13" s="46" t="n">
        <v>0</v>
      </c>
      <c r="I13" s="45" t="n">
        <v>0</v>
      </c>
      <c r="J13" s="46" t="n">
        <v>0</v>
      </c>
      <c r="K13" s="46" t="n">
        <v>0</v>
      </c>
      <c r="L13" s="46" t="n">
        <v>895.9299999999999</v>
      </c>
      <c r="M13" s="46" t="n">
        <v>895.9299999999999</v>
      </c>
      <c r="N13" s="47" t="n">
        <v>100</v>
      </c>
      <c r="O13" s="44" t="inlineStr">
        <is>
          <t>Enhancement</t>
        </is>
      </c>
      <c r="P13" s="45" t="n">
        <v>5</v>
      </c>
      <c r="Q13" s="45" t="n">
        <v>2026</v>
      </c>
      <c r="R13" s="45" t="inlineStr">
        <is>
          <t>01/26/2026</t>
        </is>
      </c>
      <c r="S13" s="18">
        <f>IF(M13&gt;0,"Profitable",IF(M13&lt;0,"Loss","Break-even"))</f>
        <v/>
      </c>
    </row>
    <row r="14">
      <c r="A14" s="41" t="n">
        <v>11640</v>
      </c>
      <c r="B14" s="41" t="inlineStr">
        <is>
          <t>Comcast Corporation</t>
        </is>
      </c>
      <c r="C14" s="41" t="inlineStr">
        <is>
          <t>01/31/2026</t>
        </is>
      </c>
      <c r="D14" s="41" t="inlineStr">
        <is>
          <t>01/31/2026</t>
        </is>
      </c>
      <c r="E14" s="41" t="inlineStr">
        <is>
          <t>Alex Martinez</t>
        </is>
      </c>
      <c r="F14" s="41" t="inlineStr">
        <is>
          <t>Enhancements</t>
        </is>
      </c>
      <c r="G14" s="41" t="inlineStr"/>
      <c r="H14" s="42" t="n">
        <v>0</v>
      </c>
      <c r="I14" s="41" t="n">
        <v>0.58</v>
      </c>
      <c r="J14" s="42" t="n">
        <v>0</v>
      </c>
      <c r="K14" s="42" t="n">
        <v>0</v>
      </c>
      <c r="L14" s="42" t="n">
        <v>895.9299999999999</v>
      </c>
      <c r="M14" s="42" t="n">
        <v>895.9299999999999</v>
      </c>
      <c r="N14" s="43" t="n">
        <v>100</v>
      </c>
      <c r="O14" s="44" t="inlineStr">
        <is>
          <t>Enhancement</t>
        </is>
      </c>
      <c r="P14" s="41" t="n">
        <v>5</v>
      </c>
      <c r="Q14" s="41" t="n">
        <v>2026</v>
      </c>
      <c r="R14" s="41" t="inlineStr">
        <is>
          <t>01/26/2026</t>
        </is>
      </c>
      <c r="S14" s="18">
        <f>IF(M14&gt;0,"Profitable",IF(M14&lt;0,"Loss","Break-even"))</f>
        <v/>
      </c>
    </row>
    <row r="15">
      <c r="A15" s="45" t="n">
        <v>11639</v>
      </c>
      <c r="B15" s="45" t="inlineStr">
        <is>
          <t>Comcast Corporation</t>
        </is>
      </c>
      <c r="C15" s="45" t="inlineStr">
        <is>
          <t>01/31/2026</t>
        </is>
      </c>
      <c r="D15" s="45" t="inlineStr">
        <is>
          <t>01/31/2026</t>
        </is>
      </c>
      <c r="E15" s="45" t="inlineStr">
        <is>
          <t>Alex Martinez</t>
        </is>
      </c>
      <c r="F15" s="45" t="inlineStr">
        <is>
          <t>C1</t>
        </is>
      </c>
      <c r="G15" s="45" t="inlineStr"/>
      <c r="H15" s="46" t="n">
        <v>0</v>
      </c>
      <c r="I15" s="45" t="n">
        <v>0</v>
      </c>
      <c r="J15" s="46" t="n">
        <v>0</v>
      </c>
      <c r="K15" s="46" t="n">
        <v>0</v>
      </c>
      <c r="L15" s="46" t="n">
        <v>895.9299999999999</v>
      </c>
      <c r="M15" s="46" t="n">
        <v>895.9299999999999</v>
      </c>
      <c r="N15" s="47" t="n">
        <v>100</v>
      </c>
      <c r="O15" s="44" t="inlineStr">
        <is>
          <t>Enhancement</t>
        </is>
      </c>
      <c r="P15" s="45" t="n">
        <v>5</v>
      </c>
      <c r="Q15" s="45" t="n">
        <v>2026</v>
      </c>
      <c r="R15" s="45" t="inlineStr">
        <is>
          <t>01/26/2026</t>
        </is>
      </c>
      <c r="S15" s="18">
        <f>IF(M15&gt;0,"Profitable",IF(M15&lt;0,"Loss","Break-even"))</f>
        <v/>
      </c>
    </row>
    <row r="16">
      <c r="A16" s="41" t="n">
        <v>11638</v>
      </c>
      <c r="B16" s="41" t="inlineStr">
        <is>
          <t>Comcast Corporation</t>
        </is>
      </c>
      <c r="C16" s="41" t="inlineStr">
        <is>
          <t>01/31/2026</t>
        </is>
      </c>
      <c r="D16" s="41" t="inlineStr">
        <is>
          <t>01/31/2026</t>
        </is>
      </c>
      <c r="E16" s="41" t="inlineStr">
        <is>
          <t>Alex Martinez</t>
        </is>
      </c>
      <c r="F16" s="41" t="inlineStr">
        <is>
          <t>C1</t>
        </is>
      </c>
      <c r="G16" s="41" t="inlineStr"/>
      <c r="H16" s="42" t="n">
        <v>0</v>
      </c>
      <c r="I16" s="41" t="n">
        <v>0</v>
      </c>
      <c r="J16" s="42" t="n">
        <v>0</v>
      </c>
      <c r="K16" s="42" t="n">
        <v>0</v>
      </c>
      <c r="L16" s="42" t="n">
        <v>895.9299999999999</v>
      </c>
      <c r="M16" s="42" t="n">
        <v>895.9299999999999</v>
      </c>
      <c r="N16" s="43" t="n">
        <v>100</v>
      </c>
      <c r="O16" s="44" t="inlineStr">
        <is>
          <t>Enhancement</t>
        </is>
      </c>
      <c r="P16" s="41" t="n">
        <v>5</v>
      </c>
      <c r="Q16" s="41" t="n">
        <v>2026</v>
      </c>
      <c r="R16" s="41" t="inlineStr">
        <is>
          <t>01/26/2026</t>
        </is>
      </c>
      <c r="S16" s="18">
        <f>IF(M16&gt;0,"Profitable",IF(M16&lt;0,"Loss","Break-even"))</f>
        <v/>
      </c>
    </row>
    <row r="17">
      <c r="A17" s="45" t="n">
        <v>11637</v>
      </c>
      <c r="B17" s="45" t="inlineStr">
        <is>
          <t>Comcast Corporation</t>
        </is>
      </c>
      <c r="C17" s="45" t="inlineStr">
        <is>
          <t>01/31/2026</t>
        </is>
      </c>
      <c r="D17" s="45" t="inlineStr">
        <is>
          <t>01/31/2026</t>
        </is>
      </c>
      <c r="E17" s="45" t="inlineStr">
        <is>
          <t>Alex Martinez</t>
        </is>
      </c>
      <c r="F17" s="45" t="inlineStr">
        <is>
          <t>C1</t>
        </is>
      </c>
      <c r="G17" s="45" t="inlineStr"/>
      <c r="H17" s="46" t="n">
        <v>0</v>
      </c>
      <c r="I17" s="45" t="n">
        <v>0</v>
      </c>
      <c r="J17" s="46" t="n">
        <v>0</v>
      </c>
      <c r="K17" s="46" t="n">
        <v>0</v>
      </c>
      <c r="L17" s="46" t="n">
        <v>895.9299999999999</v>
      </c>
      <c r="M17" s="46" t="n">
        <v>895.9299999999999</v>
      </c>
      <c r="N17" s="47" t="n">
        <v>100</v>
      </c>
      <c r="O17" s="44" t="inlineStr">
        <is>
          <t>Enhancement</t>
        </is>
      </c>
      <c r="P17" s="45" t="n">
        <v>5</v>
      </c>
      <c r="Q17" s="45" t="n">
        <v>2026</v>
      </c>
      <c r="R17" s="45" t="inlineStr">
        <is>
          <t>01/26/2026</t>
        </is>
      </c>
      <c r="S17" s="18">
        <f>IF(M17&gt;0,"Profitable",IF(M17&lt;0,"Loss","Break-even"))</f>
        <v/>
      </c>
    </row>
    <row r="18">
      <c r="A18" s="41" t="n">
        <v>11578</v>
      </c>
      <c r="B18" s="41" t="inlineStr">
        <is>
          <t>Inter Atlanta FC</t>
        </is>
      </c>
      <c r="C18" s="41" t="inlineStr">
        <is>
          <t>01/27/2026</t>
        </is>
      </c>
      <c r="D18" s="41" t="inlineStr"/>
      <c r="E18" s="41" t="inlineStr"/>
      <c r="F18" s="41" t="inlineStr">
        <is>
          <t>Enhancements</t>
        </is>
      </c>
      <c r="G18" s="41" t="n">
        <v>17096</v>
      </c>
      <c r="H18" s="42" t="n">
        <v>433.5</v>
      </c>
      <c r="I18" s="41" t="n">
        <v>1</v>
      </c>
      <c r="J18" s="42" t="n">
        <v>92.56999999999999</v>
      </c>
      <c r="K18" s="42" t="n">
        <v>526.0700000000001</v>
      </c>
      <c r="L18" s="42" t="n">
        <v>482</v>
      </c>
      <c r="M18" s="42" t="n">
        <v>-44.07</v>
      </c>
      <c r="N18" s="43" t="n">
        <v>-9.140000000000001</v>
      </c>
      <c r="O18" s="44" t="inlineStr">
        <is>
          <t>Enhancement</t>
        </is>
      </c>
      <c r="P18" s="41" t="n">
        <v>5</v>
      </c>
      <c r="Q18" s="41" t="n">
        <v>2026</v>
      </c>
      <c r="R18" s="41" t="inlineStr">
        <is>
          <t>01/26/2026</t>
        </is>
      </c>
      <c r="S18" s="18">
        <f>IF(M18&gt;0,"Profitable",IF(M18&lt;0,"Loss","Break-even"))</f>
        <v/>
      </c>
    </row>
    <row r="19">
      <c r="A19" s="45" t="n">
        <v>11577</v>
      </c>
      <c r="B19" s="45" t="inlineStr">
        <is>
          <t>Inter Atlanta FC</t>
        </is>
      </c>
      <c r="C19" s="45" t="inlineStr">
        <is>
          <t>01/26/2026</t>
        </is>
      </c>
      <c r="D19" s="45" t="inlineStr">
        <is>
          <t>01/30/2026</t>
        </is>
      </c>
      <c r="E19" s="45" t="inlineStr"/>
      <c r="F19" s="45" t="inlineStr">
        <is>
          <t>Enhancements</t>
        </is>
      </c>
      <c r="G19" s="45" t="n">
        <v>17095</v>
      </c>
      <c r="H19" s="46" t="n">
        <v>2241</v>
      </c>
      <c r="I19" s="45" t="n">
        <v>2</v>
      </c>
      <c r="J19" s="46" t="n">
        <v>846.62</v>
      </c>
      <c r="K19" s="46" t="n">
        <v>3087.62</v>
      </c>
      <c r="L19" s="46" t="n">
        <v>2496</v>
      </c>
      <c r="M19" s="46" t="n">
        <v>-591.62</v>
      </c>
      <c r="N19" s="47" t="n">
        <v>-23.7</v>
      </c>
      <c r="O19" s="44" t="inlineStr">
        <is>
          <t>Enhancement</t>
        </is>
      </c>
      <c r="P19" s="45" t="n">
        <v>5</v>
      </c>
      <c r="Q19" s="45" t="n">
        <v>2026</v>
      </c>
      <c r="R19" s="45" t="inlineStr">
        <is>
          <t>01/26/2026</t>
        </is>
      </c>
      <c r="S19" s="18">
        <f>IF(M19&gt;0,"Profitable",IF(M19&lt;0,"Loss","Break-even"))</f>
        <v/>
      </c>
    </row>
    <row r="20">
      <c r="A20" s="41" t="n">
        <v>11556</v>
      </c>
      <c r="B20" s="41" t="inlineStr">
        <is>
          <t>Inter Atlanta FC</t>
        </is>
      </c>
      <c r="C20" s="41" t="inlineStr">
        <is>
          <t>01/19/2026</t>
        </is>
      </c>
      <c r="D20" s="41" t="inlineStr">
        <is>
          <t>01/23/2026</t>
        </is>
      </c>
      <c r="E20" s="41" t="inlineStr"/>
      <c r="F20" s="41" t="inlineStr">
        <is>
          <t>Enhancements</t>
        </is>
      </c>
      <c r="G20" s="41" t="inlineStr"/>
      <c r="H20" s="42" t="n">
        <v>0</v>
      </c>
      <c r="I20" s="41" t="n">
        <v>0</v>
      </c>
      <c r="J20" s="42" t="n">
        <v>0</v>
      </c>
      <c r="K20" s="42" t="n">
        <v>0</v>
      </c>
      <c r="L20" s="42" t="n">
        <v>0</v>
      </c>
      <c r="M20" s="42" t="n">
        <v>0</v>
      </c>
      <c r="N20" s="41" t="n">
        <v>0</v>
      </c>
      <c r="O20" s="44" t="inlineStr">
        <is>
          <t>Enhancement</t>
        </is>
      </c>
      <c r="P20" s="41" t="n">
        <v>4</v>
      </c>
      <c r="Q20" s="41" t="n">
        <v>2026</v>
      </c>
      <c r="R20" s="41" t="inlineStr">
        <is>
          <t>01/19/2026</t>
        </is>
      </c>
      <c r="S20" s="18">
        <f>IF(M20&gt;0,"Profitable",IF(M20&lt;0,"Loss","Break-even"))</f>
        <v/>
      </c>
    </row>
    <row r="21">
      <c r="A21" s="45" t="n">
        <v>11528</v>
      </c>
      <c r="B21" s="45" t="inlineStr">
        <is>
          <t>Kim King Associates</t>
        </is>
      </c>
      <c r="C21" s="45" t="inlineStr">
        <is>
          <t>01/16/2026</t>
        </is>
      </c>
      <c r="D21" s="45" t="inlineStr">
        <is>
          <t>01/19/2026</t>
        </is>
      </c>
      <c r="E21" s="45" t="inlineStr">
        <is>
          <t>Alex Martinez</t>
        </is>
      </c>
      <c r="F21" s="45" t="inlineStr">
        <is>
          <t>Unassigned</t>
        </is>
      </c>
      <c r="G21" s="45" t="n">
        <v>17093</v>
      </c>
      <c r="H21" s="46" t="n">
        <v>1475</v>
      </c>
      <c r="I21" s="45" t="n">
        <v>0</v>
      </c>
      <c r="J21" s="46" t="n">
        <v>0</v>
      </c>
      <c r="K21" s="46" t="n">
        <v>1475</v>
      </c>
      <c r="L21" s="46" t="n">
        <v>1917.5</v>
      </c>
      <c r="M21" s="46" t="n">
        <v>442.5</v>
      </c>
      <c r="N21" s="47" t="n">
        <v>23.08</v>
      </c>
      <c r="O21" s="44" t="inlineStr">
        <is>
          <t>Enhancement</t>
        </is>
      </c>
      <c r="P21" s="45" t="n">
        <v>3</v>
      </c>
      <c r="Q21" s="45" t="n">
        <v>2026</v>
      </c>
      <c r="R21" s="45" t="inlineStr">
        <is>
          <t>01/12/2026</t>
        </is>
      </c>
      <c r="S21" s="18">
        <f>IF(M21&gt;0,"Profitable",IF(M21&lt;0,"Loss","Break-even"))</f>
        <v/>
      </c>
    </row>
    <row r="22">
      <c r="A22" s="41" t="n">
        <v>11521</v>
      </c>
      <c r="B22" s="41" t="inlineStr">
        <is>
          <t>Mary Smith</t>
        </is>
      </c>
      <c r="C22" s="41" t="inlineStr">
        <is>
          <t>01/15/2026</t>
        </is>
      </c>
      <c r="D22" s="41" t="inlineStr">
        <is>
          <t>01/15/2026</t>
        </is>
      </c>
      <c r="E22" s="41" t="inlineStr">
        <is>
          <t>Matthew Drumm</t>
        </is>
      </c>
      <c r="F22" s="41" t="inlineStr">
        <is>
          <t>L1</t>
        </is>
      </c>
      <c r="G22" s="41" t="n">
        <v>17094</v>
      </c>
      <c r="H22" s="42" t="n">
        <v>0</v>
      </c>
      <c r="I22" s="41" t="n">
        <v>0</v>
      </c>
      <c r="J22" s="42" t="n">
        <v>0</v>
      </c>
      <c r="K22" s="42" t="n">
        <v>0</v>
      </c>
      <c r="L22" s="42" t="n">
        <v>450</v>
      </c>
      <c r="M22" s="42" t="n">
        <v>450</v>
      </c>
      <c r="N22" s="43" t="n">
        <v>100</v>
      </c>
      <c r="O22" s="44" t="inlineStr">
        <is>
          <t>Enhancement</t>
        </is>
      </c>
      <c r="P22" s="41" t="n">
        <v>3</v>
      </c>
      <c r="Q22" s="41" t="n">
        <v>2026</v>
      </c>
      <c r="R22" s="41" t="inlineStr">
        <is>
          <t>01/12/2026</t>
        </is>
      </c>
      <c r="S22" s="18">
        <f>IF(M22&gt;0,"Profitable",IF(M22&lt;0,"Loss","Break-even"))</f>
        <v/>
      </c>
    </row>
    <row r="23">
      <c r="A23" s="45" t="n">
        <v>11520</v>
      </c>
      <c r="B23" s="45" t="inlineStr">
        <is>
          <t>Reagan Burford</t>
        </is>
      </c>
      <c r="C23" s="45" t="inlineStr">
        <is>
          <t>01/13/2026</t>
        </is>
      </c>
      <c r="D23" s="45" t="inlineStr">
        <is>
          <t>01/13/2026</t>
        </is>
      </c>
      <c r="E23" s="45" t="inlineStr">
        <is>
          <t>Alex Martinez</t>
        </is>
      </c>
      <c r="F23" s="45" t="inlineStr">
        <is>
          <t>Brian Gopar</t>
        </is>
      </c>
      <c r="G23" s="45" t="n">
        <v>17089</v>
      </c>
      <c r="H23" s="46" t="n">
        <v>0</v>
      </c>
      <c r="I23" s="45" t="n">
        <v>0</v>
      </c>
      <c r="J23" s="46" t="n">
        <v>0</v>
      </c>
      <c r="K23" s="46" t="n">
        <v>0</v>
      </c>
      <c r="L23" s="46" t="n">
        <v>175</v>
      </c>
      <c r="M23" s="46" t="n">
        <v>175</v>
      </c>
      <c r="N23" s="47" t="n">
        <v>100</v>
      </c>
      <c r="O23" s="44" t="inlineStr">
        <is>
          <t>Enhancement</t>
        </is>
      </c>
      <c r="P23" s="45" t="n">
        <v>3</v>
      </c>
      <c r="Q23" s="45" t="n">
        <v>2026</v>
      </c>
      <c r="R23" s="45" t="inlineStr">
        <is>
          <t>01/12/2026</t>
        </is>
      </c>
      <c r="S23" s="18">
        <f>IF(M23&gt;0,"Profitable",IF(M23&lt;0,"Loss","Break-even"))</f>
        <v/>
      </c>
    </row>
    <row r="24">
      <c r="A24" s="41" t="n">
        <v>11474</v>
      </c>
      <c r="B24" s="41" t="inlineStr">
        <is>
          <t>Kim King Associates</t>
        </is>
      </c>
      <c r="C24" s="41" t="inlineStr">
        <is>
          <t>01/08/2026</t>
        </is>
      </c>
      <c r="D24" s="41" t="inlineStr">
        <is>
          <t>01/12/2026</t>
        </is>
      </c>
      <c r="E24" s="41" t="inlineStr">
        <is>
          <t>Alex Martinez</t>
        </is>
      </c>
      <c r="F24" s="41" t="inlineStr">
        <is>
          <t>Sub Contractor</t>
        </is>
      </c>
      <c r="G24" s="41" t="n">
        <v>17087</v>
      </c>
      <c r="H24" s="42" t="n">
        <v>2200</v>
      </c>
      <c r="I24" s="41" t="n">
        <v>0</v>
      </c>
      <c r="J24" s="42" t="n">
        <v>0</v>
      </c>
      <c r="K24" s="42" t="n">
        <v>2200</v>
      </c>
      <c r="L24" s="42" t="n">
        <v>2640</v>
      </c>
      <c r="M24" s="42" t="n">
        <v>440</v>
      </c>
      <c r="N24" s="43" t="n">
        <v>16.67</v>
      </c>
      <c r="O24" s="48" t="inlineStr">
        <is>
          <t>Contracted Enhancement</t>
        </is>
      </c>
      <c r="P24" s="41" t="n">
        <v>2</v>
      </c>
      <c r="Q24" s="41" t="n">
        <v>2026</v>
      </c>
      <c r="R24" s="41" t="inlineStr">
        <is>
          <t>01/05/2026</t>
        </is>
      </c>
      <c r="S24" s="18">
        <f>IF(M24&gt;0,"Profitable",IF(M24&lt;0,"Loss","Break-even"))</f>
        <v/>
      </c>
    </row>
    <row r="25">
      <c r="A25" s="45" t="n">
        <v>11473</v>
      </c>
      <c r="B25" s="45" t="inlineStr">
        <is>
          <t>Inter Atlanta FC</t>
        </is>
      </c>
      <c r="C25" s="45" t="inlineStr">
        <is>
          <t>01/13/2026</t>
        </is>
      </c>
      <c r="D25" s="45" t="inlineStr"/>
      <c r="E25" s="45" t="inlineStr"/>
      <c r="F25" s="45" t="inlineStr">
        <is>
          <t>Agronomy, Patrick Patterson, and Enhancements</t>
        </is>
      </c>
      <c r="G25" s="45" t="n">
        <v>17092</v>
      </c>
      <c r="H25" s="46" t="n">
        <v>7436.49</v>
      </c>
      <c r="I25" s="45" t="n">
        <v>6</v>
      </c>
      <c r="J25" s="46" t="n">
        <v>2803.44</v>
      </c>
      <c r="K25" s="46" t="n">
        <v>10239.93</v>
      </c>
      <c r="L25" s="46" t="n">
        <v>4050</v>
      </c>
      <c r="M25" s="46" t="n">
        <v>-6189.93</v>
      </c>
      <c r="N25" s="47" t="n">
        <v>-152.84</v>
      </c>
      <c r="O25" s="44" t="inlineStr">
        <is>
          <t>Enhancement</t>
        </is>
      </c>
      <c r="P25" s="45" t="n">
        <v>3</v>
      </c>
      <c r="Q25" s="45" t="n">
        <v>2026</v>
      </c>
      <c r="R25" s="45" t="inlineStr">
        <is>
          <t>01/12/2026</t>
        </is>
      </c>
      <c r="S25" s="18">
        <f>IF(M25&gt;0,"Profitable",IF(M25&lt;0,"Loss","Break-even"))</f>
        <v/>
      </c>
    </row>
    <row r="26">
      <c r="A26" s="41" t="n">
        <v>11416</v>
      </c>
      <c r="B26" s="41" t="inlineStr">
        <is>
          <t>Max Slater</t>
        </is>
      </c>
      <c r="C26" s="41" t="inlineStr">
        <is>
          <t>01/07/2026</t>
        </is>
      </c>
      <c r="D26" s="41" t="inlineStr">
        <is>
          <t>01/12/2026</t>
        </is>
      </c>
      <c r="E26" s="41" t="inlineStr">
        <is>
          <t>Alex Martinez</t>
        </is>
      </c>
      <c r="F26" s="41" t="inlineStr">
        <is>
          <t>Enhancements</t>
        </is>
      </c>
      <c r="G26" s="41" t="n">
        <v>17086</v>
      </c>
      <c r="H26" s="42" t="n">
        <v>0</v>
      </c>
      <c r="I26" s="41" t="n">
        <v>1</v>
      </c>
      <c r="J26" s="42" t="n">
        <v>445.25</v>
      </c>
      <c r="K26" s="42" t="n">
        <v>445.25</v>
      </c>
      <c r="L26" s="42" t="n">
        <v>992</v>
      </c>
      <c r="M26" s="42" t="n">
        <v>546.75</v>
      </c>
      <c r="N26" s="43" t="n">
        <v>55.12</v>
      </c>
      <c r="O26" s="44" t="inlineStr">
        <is>
          <t>Enhancement</t>
        </is>
      </c>
      <c r="P26" s="41" t="n">
        <v>2</v>
      </c>
      <c r="Q26" s="41" t="n">
        <v>2026</v>
      </c>
      <c r="R26" s="41" t="inlineStr">
        <is>
          <t>01/05/2026</t>
        </is>
      </c>
      <c r="S26" s="18">
        <f>IF(M26&gt;0,"Profitable",IF(M26&lt;0,"Loss","Break-even"))</f>
        <v/>
      </c>
    </row>
    <row r="27">
      <c r="A27" s="45" t="n">
        <v>11415</v>
      </c>
      <c r="B27" s="45" t="inlineStr">
        <is>
          <t>Max Slater</t>
        </is>
      </c>
      <c r="C27" s="45" t="inlineStr">
        <is>
          <t>01/12/2026</t>
        </is>
      </c>
      <c r="D27" s="45" t="inlineStr">
        <is>
          <t>01/14/2026</t>
        </is>
      </c>
      <c r="E27" s="45" t="inlineStr">
        <is>
          <t>Alex Martinez</t>
        </is>
      </c>
      <c r="F27" s="45" t="inlineStr">
        <is>
          <t>Enhancements</t>
        </is>
      </c>
      <c r="G27" s="45" t="n">
        <v>17091</v>
      </c>
      <c r="H27" s="46" t="n">
        <v>741.6</v>
      </c>
      <c r="I27" s="45" t="n">
        <v>1</v>
      </c>
      <c r="J27" s="46" t="n">
        <v>261.46</v>
      </c>
      <c r="K27" s="46" t="n">
        <v>1003.06</v>
      </c>
      <c r="L27" s="46" t="n">
        <v>951.13</v>
      </c>
      <c r="M27" s="46" t="n">
        <v>-51.93</v>
      </c>
      <c r="N27" s="47" t="n">
        <v>-5.46</v>
      </c>
      <c r="O27" s="44" t="inlineStr">
        <is>
          <t>Enhancement</t>
        </is>
      </c>
      <c r="P27" s="45" t="n">
        <v>3</v>
      </c>
      <c r="Q27" s="45" t="n">
        <v>2026</v>
      </c>
      <c r="R27" s="45" t="inlineStr">
        <is>
          <t>01/12/2026</t>
        </is>
      </c>
      <c r="S27" s="18">
        <f>IF(M27&gt;0,"Profitable",IF(M27&lt;0,"Loss","Break-even"))</f>
        <v/>
      </c>
    </row>
    <row r="28">
      <c r="A28" s="41" t="n">
        <v>11407</v>
      </c>
      <c r="B28" s="41" t="inlineStr">
        <is>
          <t>Greg Reihing</t>
        </is>
      </c>
      <c r="C28" s="41" t="inlineStr">
        <is>
          <t>01/12/2026</t>
        </is>
      </c>
      <c r="D28" s="41" t="inlineStr">
        <is>
          <t>01/14/2026</t>
        </is>
      </c>
      <c r="E28" s="41" t="inlineStr">
        <is>
          <t>Alex Martinez</t>
        </is>
      </c>
      <c r="F28" s="41" t="inlineStr">
        <is>
          <t>Enhancements</t>
        </is>
      </c>
      <c r="G28" s="41" t="n">
        <v>17090</v>
      </c>
      <c r="H28" s="42" t="n">
        <v>390.96</v>
      </c>
      <c r="I28" s="41" t="n">
        <v>1</v>
      </c>
      <c r="J28" s="42" t="n">
        <v>261.46</v>
      </c>
      <c r="K28" s="42" t="n">
        <v>652.42</v>
      </c>
      <c r="L28" s="42" t="n">
        <v>549.25</v>
      </c>
      <c r="M28" s="42" t="n">
        <v>-103.17</v>
      </c>
      <c r="N28" s="43" t="n">
        <v>-18.78</v>
      </c>
      <c r="O28" s="44" t="inlineStr">
        <is>
          <t>Enhancement</t>
        </is>
      </c>
      <c r="P28" s="41" t="n">
        <v>3</v>
      </c>
      <c r="Q28" s="41" t="n">
        <v>2026</v>
      </c>
      <c r="R28" s="41" t="inlineStr">
        <is>
          <t>01/12/2026</t>
        </is>
      </c>
      <c r="S28" s="18">
        <f>IF(M28&gt;0,"Profitable",IF(M28&lt;0,"Loss","Break-even"))</f>
        <v/>
      </c>
    </row>
    <row r="29">
      <c r="A29" s="45" t="n">
        <v>11314</v>
      </c>
      <c r="B29" s="45" t="inlineStr">
        <is>
          <t>Comcast Corporation</t>
        </is>
      </c>
      <c r="C29" s="45" t="inlineStr">
        <is>
          <t>01/06/2026</t>
        </is>
      </c>
      <c r="D29" s="45" t="inlineStr">
        <is>
          <t>01/12/2026</t>
        </is>
      </c>
      <c r="E29" s="45" t="inlineStr">
        <is>
          <t>Alex Martinez</t>
        </is>
      </c>
      <c r="F29" s="45" t="inlineStr">
        <is>
          <t>Enhancements</t>
        </is>
      </c>
      <c r="G29" s="45" t="n">
        <v>17088</v>
      </c>
      <c r="H29" s="46" t="n">
        <v>627</v>
      </c>
      <c r="I29" s="45" t="n">
        <v>1</v>
      </c>
      <c r="J29" s="46" t="n">
        <v>926.3200000000001</v>
      </c>
      <c r="K29" s="46" t="n">
        <v>1553.32</v>
      </c>
      <c r="L29" s="46" t="n">
        <v>3887.99</v>
      </c>
      <c r="M29" s="46" t="n">
        <v>2334.67</v>
      </c>
      <c r="N29" s="47" t="n">
        <v>60.05</v>
      </c>
      <c r="O29" s="44" t="inlineStr">
        <is>
          <t>Enhancement</t>
        </is>
      </c>
      <c r="P29" s="45" t="n">
        <v>2</v>
      </c>
      <c r="Q29" s="45" t="n">
        <v>2026</v>
      </c>
      <c r="R29" s="45" t="inlineStr">
        <is>
          <t>01/05/2026</t>
        </is>
      </c>
      <c r="S29" s="18">
        <f>IF(M29&gt;0,"Profitable",IF(M29&lt;0,"Loss","Break-even"))</f>
        <v/>
      </c>
    </row>
    <row r="30">
      <c r="A30" s="41" t="n">
        <v>11303</v>
      </c>
      <c r="B30" s="41" t="inlineStr">
        <is>
          <t>Comcast Corporation</t>
        </is>
      </c>
      <c r="C30" s="41" t="inlineStr">
        <is>
          <t>01/05/2026</t>
        </is>
      </c>
      <c r="D30" s="41" t="inlineStr">
        <is>
          <t>01/12/2026</t>
        </is>
      </c>
      <c r="E30" s="41" t="inlineStr">
        <is>
          <t>Alex Martinez</t>
        </is>
      </c>
      <c r="F30" s="41" t="inlineStr">
        <is>
          <t>Enhancements</t>
        </is>
      </c>
      <c r="G30" s="41" t="n">
        <v>17080</v>
      </c>
      <c r="H30" s="42" t="n">
        <v>0</v>
      </c>
      <c r="I30" s="41" t="n">
        <v>1</v>
      </c>
      <c r="J30" s="42" t="n">
        <v>407.03</v>
      </c>
      <c r="K30" s="42" t="n">
        <v>407.03</v>
      </c>
      <c r="L30" s="42" t="n">
        <v>1240</v>
      </c>
      <c r="M30" s="42" t="n">
        <v>832.97</v>
      </c>
      <c r="N30" s="43" t="n">
        <v>67.18000000000001</v>
      </c>
      <c r="O30" s="44" t="inlineStr">
        <is>
          <t>Enhancement</t>
        </is>
      </c>
      <c r="P30" s="41" t="n">
        <v>2</v>
      </c>
      <c r="Q30" s="41" t="n">
        <v>2026</v>
      </c>
      <c r="R30" s="41" t="inlineStr">
        <is>
          <t>01/05/2026</t>
        </is>
      </c>
      <c r="S30" s="18">
        <f>IF(M30&gt;0,"Profitable",IF(M30&lt;0,"Loss","Break-even"))</f>
        <v/>
      </c>
    </row>
    <row r="31">
      <c r="A31" s="45" t="n">
        <v>11302</v>
      </c>
      <c r="B31" s="45" t="inlineStr">
        <is>
          <t>Comcast Corporation</t>
        </is>
      </c>
      <c r="C31" s="45" t="inlineStr">
        <is>
          <t>01/05/2026</t>
        </is>
      </c>
      <c r="D31" s="45" t="inlineStr">
        <is>
          <t>01/12/2026</t>
        </is>
      </c>
      <c r="E31" s="45" t="inlineStr">
        <is>
          <t>Alex Martinez</t>
        </is>
      </c>
      <c r="F31" s="45" t="inlineStr">
        <is>
          <t>Enhancements</t>
        </is>
      </c>
      <c r="G31" s="45" t="n">
        <v>17081</v>
      </c>
      <c r="H31" s="46" t="n">
        <v>0</v>
      </c>
      <c r="I31" s="45" t="n">
        <v>1</v>
      </c>
      <c r="J31" s="46" t="n">
        <v>407.03</v>
      </c>
      <c r="K31" s="46" t="n">
        <v>407.03</v>
      </c>
      <c r="L31" s="46" t="n">
        <v>1240</v>
      </c>
      <c r="M31" s="46" t="n">
        <v>832.97</v>
      </c>
      <c r="N31" s="47" t="n">
        <v>67.18000000000001</v>
      </c>
      <c r="O31" s="44" t="inlineStr">
        <is>
          <t>Enhancement</t>
        </is>
      </c>
      <c r="P31" s="45" t="n">
        <v>2</v>
      </c>
      <c r="Q31" s="45" t="n">
        <v>2026</v>
      </c>
      <c r="R31" s="45" t="inlineStr">
        <is>
          <t>01/05/2026</t>
        </is>
      </c>
      <c r="S31" s="18">
        <f>IF(M31&gt;0,"Profitable",IF(M31&lt;0,"Loss","Break-even"))</f>
        <v/>
      </c>
    </row>
  </sheetData>
  <conditionalFormatting sqref="M2:M31">
    <cfRule type="expression" priority="1" dxfId="0">
      <formula>$M2&gt;0</formula>
    </cfRule>
    <cfRule type="expression" priority="2" dxfId="1">
      <formula>$M2&lt;0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N1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min="1" max="1"/>
    <col width="21" customWidth="1" min="2" max="2"/>
    <col width="14" customWidth="1" min="3" max="3"/>
    <col width="14" customWidth="1" min="4" max="4"/>
    <col width="14" customWidth="1" min="5" max="5"/>
    <col width="9" customWidth="1" min="6" max="6"/>
    <col width="18" customWidth="1" min="7" max="7"/>
    <col width="14" customWidth="1" min="8" max="8"/>
    <col width="16" customWidth="1" min="9" max="9"/>
    <col width="8" customWidth="1" min="10" max="10"/>
    <col width="18" customWidth="1" min="11" max="11"/>
    <col width="11" customWidth="1" min="12" max="12"/>
    <col width="13" customWidth="1" min="13" max="13"/>
    <col width="22" customWidth="1" min="14" max="14"/>
  </cols>
  <sheetData>
    <row r="1">
      <c r="A1" s="37" t="inlineStr">
        <is>
          <t>Invoice #</t>
        </is>
      </c>
      <c r="B1" s="37" t="inlineStr">
        <is>
          <t>Client name</t>
        </is>
      </c>
      <c r="C1" s="37" t="inlineStr">
        <is>
          <t>Created date</t>
        </is>
      </c>
      <c r="D1" s="37" t="inlineStr">
        <is>
          <t>Issued date</t>
        </is>
      </c>
      <c r="E1" s="37" t="inlineStr">
        <is>
          <t>Due date</t>
        </is>
      </c>
      <c r="F1" s="37" t="inlineStr">
        <is>
          <t>Late by</t>
        </is>
      </c>
      <c r="G1" s="37" t="inlineStr">
        <is>
          <t>Marked paid date</t>
        </is>
      </c>
      <c r="H1" s="37" t="inlineStr">
        <is>
          <t>Days to paid</t>
        </is>
      </c>
      <c r="I1" s="37" t="inlineStr">
        <is>
          <t>Last contacted</t>
        </is>
      </c>
      <c r="J1" s="37" t="inlineStr">
        <is>
          <t>Job #s</t>
        </is>
      </c>
      <c r="K1" s="37" t="inlineStr">
        <is>
          <t>Status</t>
        </is>
      </c>
      <c r="L1" s="37" t="inlineStr">
        <is>
          <t>Total ($)</t>
        </is>
      </c>
      <c r="M1" s="37" t="inlineStr">
        <is>
          <t>Balance ($)</t>
        </is>
      </c>
      <c r="N1" s="37" t="inlineStr">
        <is>
          <t>Viewed in client hub</t>
        </is>
      </c>
    </row>
    <row r="2">
      <c r="A2" s="41" t="n">
        <v>17096</v>
      </c>
      <c r="B2" s="41" t="inlineStr">
        <is>
          <t>Inter Atlanta FC</t>
        </is>
      </c>
      <c r="C2" s="41" t="inlineStr">
        <is>
          <t>01/30/2026</t>
        </is>
      </c>
      <c r="D2" s="41" t="inlineStr">
        <is>
          <t>Jan 30, 2026</t>
        </is>
      </c>
      <c r="E2" s="41" t="inlineStr">
        <is>
          <t>Feb 14, 2026</t>
        </is>
      </c>
      <c r="F2" s="41" t="inlineStr">
        <is>
          <t>-</t>
        </is>
      </c>
      <c r="G2" s="41" t="inlineStr">
        <is>
          <t>-</t>
        </is>
      </c>
      <c r="H2" s="41" t="n">
        <v>0</v>
      </c>
      <c r="I2" s="41" t="inlineStr">
        <is>
          <t>Jan 30, 2026</t>
        </is>
      </c>
      <c r="J2" s="41" t="inlineStr">
        <is>
          <t>11578</t>
        </is>
      </c>
      <c r="K2" s="41" t="inlineStr">
        <is>
          <t>Awaiting Payment</t>
        </is>
      </c>
      <c r="L2" s="42" t="n">
        <v>482</v>
      </c>
      <c r="M2" s="42" t="n">
        <v>482</v>
      </c>
      <c r="N2" s="41" t="inlineStr">
        <is>
          <t>-</t>
        </is>
      </c>
    </row>
    <row r="3">
      <c r="A3" s="45" t="n">
        <v>17095</v>
      </c>
      <c r="B3" s="45" t="inlineStr">
        <is>
          <t>Inter Atlanta FC</t>
        </is>
      </c>
      <c r="C3" s="45" t="inlineStr">
        <is>
          <t>01/30/2026</t>
        </is>
      </c>
      <c r="D3" s="45" t="inlineStr">
        <is>
          <t>Jan 30, 2026</t>
        </is>
      </c>
      <c r="E3" s="45" t="inlineStr">
        <is>
          <t>Feb 14, 2026</t>
        </is>
      </c>
      <c r="F3" s="45" t="inlineStr">
        <is>
          <t>-</t>
        </is>
      </c>
      <c r="G3" s="45" t="inlineStr">
        <is>
          <t>-</t>
        </is>
      </c>
      <c r="H3" s="45" t="n">
        <v>0</v>
      </c>
      <c r="I3" s="45" t="inlineStr">
        <is>
          <t>Jan 30, 2026</t>
        </is>
      </c>
      <c r="J3" s="45" t="inlineStr">
        <is>
          <t>11577</t>
        </is>
      </c>
      <c r="K3" s="45" t="inlineStr">
        <is>
          <t>Awaiting Payment</t>
        </is>
      </c>
      <c r="L3" s="46" t="n">
        <v>2496</v>
      </c>
      <c r="M3" s="46" t="n">
        <v>2496</v>
      </c>
      <c r="N3" s="45" t="inlineStr">
        <is>
          <t>-</t>
        </is>
      </c>
    </row>
    <row r="4">
      <c r="A4" s="41" t="n">
        <v>17094</v>
      </c>
      <c r="B4" s="41" t="inlineStr">
        <is>
          <t>Mary Smith</t>
        </is>
      </c>
      <c r="C4" s="41" t="inlineStr">
        <is>
          <t>01/22/2026</t>
        </is>
      </c>
      <c r="D4" s="41" t="inlineStr">
        <is>
          <t>Jan 22, 2026</t>
        </is>
      </c>
      <c r="E4" s="41" t="inlineStr">
        <is>
          <t>Jan 22, 2026</t>
        </is>
      </c>
      <c r="F4" s="41" t="inlineStr">
        <is>
          <t>-</t>
        </is>
      </c>
      <c r="G4" s="41" t="inlineStr">
        <is>
          <t>Jan 23, 2026</t>
        </is>
      </c>
      <c r="H4" s="41" t="n">
        <v>1</v>
      </c>
      <c r="I4" s="41" t="inlineStr">
        <is>
          <t>Jan 22, 2026</t>
        </is>
      </c>
      <c r="J4" s="41" t="inlineStr">
        <is>
          <t>11521</t>
        </is>
      </c>
      <c r="K4" s="41" t="inlineStr">
        <is>
          <t>Paid</t>
        </is>
      </c>
      <c r="L4" s="42" t="n">
        <v>450</v>
      </c>
      <c r="M4" s="42" t="n">
        <v>0</v>
      </c>
      <c r="N4" s="41" t="inlineStr">
        <is>
          <t>Jan 23, 2026</t>
        </is>
      </c>
    </row>
    <row r="5">
      <c r="A5" s="45" t="n">
        <v>17093</v>
      </c>
      <c r="B5" s="45" t="inlineStr">
        <is>
          <t>Kim King Associates</t>
        </is>
      </c>
      <c r="C5" s="45" t="inlineStr">
        <is>
          <t>01/19/2026</t>
        </is>
      </c>
      <c r="D5" s="45" t="inlineStr">
        <is>
          <t>Jan 19, 2026</t>
        </is>
      </c>
      <c r="E5" s="45" t="inlineStr">
        <is>
          <t>Feb 03, 2026</t>
        </is>
      </c>
      <c r="F5" s="45" t="inlineStr">
        <is>
          <t>-</t>
        </is>
      </c>
      <c r="G5" s="45" t="inlineStr">
        <is>
          <t>Jan 30, 2026</t>
        </is>
      </c>
      <c r="H5" s="45" t="n">
        <v>11</v>
      </c>
      <c r="I5" s="45" t="inlineStr">
        <is>
          <t>Jan 19, 2026</t>
        </is>
      </c>
      <c r="J5" s="45" t="inlineStr">
        <is>
          <t>11528</t>
        </is>
      </c>
      <c r="K5" s="45" t="inlineStr">
        <is>
          <t>Paid</t>
        </is>
      </c>
      <c r="L5" s="46" t="n">
        <v>1917.5</v>
      </c>
      <c r="M5" s="46" t="n">
        <v>0</v>
      </c>
      <c r="N5" s="45" t="inlineStr">
        <is>
          <t>Jan 21, 2026</t>
        </is>
      </c>
    </row>
    <row r="6">
      <c r="A6" s="41" t="n">
        <v>17092</v>
      </c>
      <c r="B6" s="41" t="inlineStr">
        <is>
          <t>Inter Atlanta FC</t>
        </is>
      </c>
      <c r="C6" s="41" t="inlineStr">
        <is>
          <t>01/18/2026</t>
        </is>
      </c>
      <c r="D6" s="41" t="inlineStr">
        <is>
          <t>Jan 22, 2026</t>
        </is>
      </c>
      <c r="E6" s="41" t="inlineStr">
        <is>
          <t>Feb 06, 2026</t>
        </is>
      </c>
      <c r="F6" s="41" t="inlineStr">
        <is>
          <t>-</t>
        </is>
      </c>
      <c r="G6" s="41" t="inlineStr">
        <is>
          <t>-</t>
        </is>
      </c>
      <c r="H6" s="41" t="n">
        <v>0</v>
      </c>
      <c r="I6" s="41" t="inlineStr">
        <is>
          <t>-</t>
        </is>
      </c>
      <c r="J6" s="41" t="inlineStr">
        <is>
          <t>11473</t>
        </is>
      </c>
      <c r="K6" s="41" t="inlineStr">
        <is>
          <t>Awaiting Payment</t>
        </is>
      </c>
      <c r="L6" s="42" t="n">
        <v>4050</v>
      </c>
      <c r="M6" s="42" t="n">
        <v>4050</v>
      </c>
      <c r="N6" s="41" t="inlineStr">
        <is>
          <t>-</t>
        </is>
      </c>
    </row>
    <row r="7">
      <c r="A7" s="45" t="n">
        <v>17091</v>
      </c>
      <c r="B7" s="45" t="inlineStr">
        <is>
          <t>Max Slater</t>
        </is>
      </c>
      <c r="C7" s="45" t="inlineStr">
        <is>
          <t>01/14/2026</t>
        </is>
      </c>
      <c r="D7" s="45" t="inlineStr">
        <is>
          <t>Jan 14, 2026</t>
        </is>
      </c>
      <c r="E7" s="45" t="inlineStr">
        <is>
          <t>Jan 14, 2026</t>
        </is>
      </c>
      <c r="F7" s="45" t="inlineStr">
        <is>
          <t>-</t>
        </is>
      </c>
      <c r="G7" s="45" t="inlineStr">
        <is>
          <t>Jan 14, 2026</t>
        </is>
      </c>
      <c r="H7" s="45" t="n">
        <v>0</v>
      </c>
      <c r="I7" s="45" t="inlineStr">
        <is>
          <t>-</t>
        </is>
      </c>
      <c r="J7" s="45" t="inlineStr">
        <is>
          <t>11415</t>
        </is>
      </c>
      <c r="K7" s="45" t="inlineStr">
        <is>
          <t>Paid</t>
        </is>
      </c>
      <c r="L7" s="46" t="n">
        <v>951.13</v>
      </c>
      <c r="M7" s="46" t="n">
        <v>0</v>
      </c>
      <c r="N7" s="45" t="inlineStr">
        <is>
          <t>-</t>
        </is>
      </c>
    </row>
    <row r="8">
      <c r="A8" s="41" t="n">
        <v>17090</v>
      </c>
      <c r="B8" s="41" t="inlineStr">
        <is>
          <t>Greg Reihing</t>
        </is>
      </c>
      <c r="C8" s="41" t="inlineStr">
        <is>
          <t>01/14/2026</t>
        </is>
      </c>
      <c r="D8" s="41" t="inlineStr">
        <is>
          <t>Jan 14, 2026</t>
        </is>
      </c>
      <c r="E8" s="41" t="inlineStr">
        <is>
          <t>Jan 14, 2026</t>
        </is>
      </c>
      <c r="F8" s="41" t="inlineStr">
        <is>
          <t>-</t>
        </is>
      </c>
      <c r="G8" s="41" t="inlineStr">
        <is>
          <t>Jan 14, 2026</t>
        </is>
      </c>
      <c r="H8" s="41" t="n">
        <v>0</v>
      </c>
      <c r="I8" s="41" t="inlineStr">
        <is>
          <t>Jan 14, 2026</t>
        </is>
      </c>
      <c r="J8" s="41" t="inlineStr">
        <is>
          <t>11407</t>
        </is>
      </c>
      <c r="K8" s="41" t="inlineStr">
        <is>
          <t>Paid</t>
        </is>
      </c>
      <c r="L8" s="42" t="n">
        <v>549.25</v>
      </c>
      <c r="M8" s="42" t="n">
        <v>0</v>
      </c>
      <c r="N8" s="41" t="inlineStr">
        <is>
          <t>-</t>
        </is>
      </c>
    </row>
    <row r="9">
      <c r="A9" s="45" t="n">
        <v>17089</v>
      </c>
      <c r="B9" s="45" t="inlineStr">
        <is>
          <t>Reagan Burford</t>
        </is>
      </c>
      <c r="C9" s="45" t="inlineStr">
        <is>
          <t>01/13/2026</t>
        </is>
      </c>
      <c r="D9" s="45" t="inlineStr">
        <is>
          <t>Jan 13, 2026</t>
        </is>
      </c>
      <c r="E9" s="45" t="inlineStr">
        <is>
          <t>Jan 13, 2026</t>
        </is>
      </c>
      <c r="F9" s="45" t="inlineStr">
        <is>
          <t>-</t>
        </is>
      </c>
      <c r="G9" s="45" t="inlineStr">
        <is>
          <t>Jan 13, 2026</t>
        </is>
      </c>
      <c r="H9" s="45" t="n">
        <v>0</v>
      </c>
      <c r="I9" s="45" t="inlineStr">
        <is>
          <t>Jan 13, 2026</t>
        </is>
      </c>
      <c r="J9" s="45" t="inlineStr">
        <is>
          <t>11520</t>
        </is>
      </c>
      <c r="K9" s="45" t="inlineStr">
        <is>
          <t>Paid</t>
        </is>
      </c>
      <c r="L9" s="46" t="n">
        <v>175</v>
      </c>
      <c r="M9" s="46" t="n">
        <v>0</v>
      </c>
      <c r="N9" s="45" t="inlineStr">
        <is>
          <t>-</t>
        </is>
      </c>
    </row>
    <row r="10">
      <c r="A10" s="41" t="n">
        <v>17088</v>
      </c>
      <c r="B10" s="41" t="inlineStr">
        <is>
          <t>Comcast Corporation</t>
        </is>
      </c>
      <c r="C10" s="41" t="inlineStr">
        <is>
          <t>01/12/2026</t>
        </is>
      </c>
      <c r="D10" s="41" t="inlineStr">
        <is>
          <t>Jan 12, 2026</t>
        </is>
      </c>
      <c r="E10" s="41" t="inlineStr">
        <is>
          <t>Feb 11, 2026</t>
        </is>
      </c>
      <c r="F10" s="41" t="inlineStr">
        <is>
          <t>-</t>
        </is>
      </c>
      <c r="G10" s="41" t="inlineStr">
        <is>
          <t>-</t>
        </is>
      </c>
      <c r="H10" s="41" t="n">
        <v>0</v>
      </c>
      <c r="I10" s="41" t="inlineStr">
        <is>
          <t>-</t>
        </is>
      </c>
      <c r="J10" s="41" t="inlineStr">
        <is>
          <t>11314</t>
        </is>
      </c>
      <c r="K10" s="41" t="inlineStr">
        <is>
          <t>Awaiting Payment</t>
        </is>
      </c>
      <c r="L10" s="42" t="n">
        <v>3887.99</v>
      </c>
      <c r="M10" s="42" t="n">
        <v>3887.99</v>
      </c>
      <c r="N10" s="41" t="inlineStr">
        <is>
          <t>-</t>
        </is>
      </c>
    </row>
    <row r="11">
      <c r="A11" s="45" t="n">
        <v>17087</v>
      </c>
      <c r="B11" s="45" t="inlineStr">
        <is>
          <t>Kim King Associates</t>
        </is>
      </c>
      <c r="C11" s="45" t="inlineStr">
        <is>
          <t>01/12/2026</t>
        </is>
      </c>
      <c r="D11" s="45" t="inlineStr">
        <is>
          <t>Jan 12, 2026</t>
        </is>
      </c>
      <c r="E11" s="45" t="inlineStr">
        <is>
          <t>Jan 27, 2026</t>
        </is>
      </c>
      <c r="F11" s="45" t="inlineStr">
        <is>
          <t>-</t>
        </is>
      </c>
      <c r="G11" s="45" t="inlineStr">
        <is>
          <t>Jan 21, 2026</t>
        </is>
      </c>
      <c r="H11" s="45" t="n">
        <v>9</v>
      </c>
      <c r="I11" s="45" t="inlineStr">
        <is>
          <t>Jan 12, 2026</t>
        </is>
      </c>
      <c r="J11" s="45" t="inlineStr">
        <is>
          <t>11474</t>
        </is>
      </c>
      <c r="K11" s="45" t="inlineStr">
        <is>
          <t>Paid</t>
        </is>
      </c>
      <c r="L11" s="46" t="n">
        <v>2640</v>
      </c>
      <c r="M11" s="46" t="n">
        <v>0</v>
      </c>
      <c r="N11" s="45" t="inlineStr">
        <is>
          <t>Jan 14, 2026</t>
        </is>
      </c>
    </row>
    <row r="12">
      <c r="A12" s="41" t="n">
        <v>17086</v>
      </c>
      <c r="B12" s="41" t="inlineStr">
        <is>
          <t>Max Slater</t>
        </is>
      </c>
      <c r="C12" s="41" t="inlineStr">
        <is>
          <t>01/12/2026</t>
        </is>
      </c>
      <c r="D12" s="41" t="inlineStr">
        <is>
          <t>Jan 12, 2026</t>
        </is>
      </c>
      <c r="E12" s="41" t="inlineStr">
        <is>
          <t>Jan 12, 2026</t>
        </is>
      </c>
      <c r="F12" s="41" t="inlineStr">
        <is>
          <t>-</t>
        </is>
      </c>
      <c r="G12" s="41" t="inlineStr">
        <is>
          <t>Jan 12, 2026</t>
        </is>
      </c>
      <c r="H12" s="41" t="n">
        <v>0</v>
      </c>
      <c r="I12" s="41" t="inlineStr">
        <is>
          <t>Jan 12, 2026</t>
        </is>
      </c>
      <c r="J12" s="41" t="inlineStr">
        <is>
          <t>11416</t>
        </is>
      </c>
      <c r="K12" s="41" t="inlineStr">
        <is>
          <t>Paid</t>
        </is>
      </c>
      <c r="L12" s="42" t="n">
        <v>992</v>
      </c>
      <c r="M12" s="42" t="n">
        <v>0</v>
      </c>
      <c r="N12" s="41" t="inlineStr">
        <is>
          <t>Jan 12, 2026</t>
        </is>
      </c>
    </row>
    <row r="13">
      <c r="A13" s="45" t="n">
        <v>17081</v>
      </c>
      <c r="B13" s="45" t="inlineStr">
        <is>
          <t>Comcast Corporation</t>
        </is>
      </c>
      <c r="C13" s="45" t="inlineStr">
        <is>
          <t>01/07/2026</t>
        </is>
      </c>
      <c r="D13" s="45" t="inlineStr">
        <is>
          <t>Jan 07, 2026</t>
        </is>
      </c>
      <c r="E13" s="45" t="inlineStr">
        <is>
          <t>Feb 06, 2026</t>
        </is>
      </c>
      <c r="F13" s="45" t="inlineStr">
        <is>
          <t>-</t>
        </is>
      </c>
      <c r="G13" s="45" t="inlineStr">
        <is>
          <t>-</t>
        </is>
      </c>
      <c r="H13" s="45" t="n">
        <v>0</v>
      </c>
      <c r="I13" s="45" t="inlineStr">
        <is>
          <t>-</t>
        </is>
      </c>
      <c r="J13" s="45" t="inlineStr">
        <is>
          <t>11302</t>
        </is>
      </c>
      <c r="K13" s="45" t="inlineStr">
        <is>
          <t>Awaiting Payment</t>
        </is>
      </c>
      <c r="L13" s="46" t="n">
        <v>1240</v>
      </c>
      <c r="M13" s="46" t="n">
        <v>1240</v>
      </c>
      <c r="N13" s="45" t="inlineStr">
        <is>
          <t>-</t>
        </is>
      </c>
    </row>
    <row r="14">
      <c r="A14" s="41" t="n">
        <v>17080</v>
      </c>
      <c r="B14" s="41" t="inlineStr">
        <is>
          <t>Comcast Corporation</t>
        </is>
      </c>
      <c r="C14" s="41" t="inlineStr">
        <is>
          <t>01/07/2026</t>
        </is>
      </c>
      <c r="D14" s="41" t="inlineStr">
        <is>
          <t>Jan 07, 2026</t>
        </is>
      </c>
      <c r="E14" s="41" t="inlineStr">
        <is>
          <t>Feb 06, 2026</t>
        </is>
      </c>
      <c r="F14" s="41" t="inlineStr">
        <is>
          <t>-</t>
        </is>
      </c>
      <c r="G14" s="41" t="inlineStr">
        <is>
          <t>-</t>
        </is>
      </c>
      <c r="H14" s="41" t="n">
        <v>0</v>
      </c>
      <c r="I14" s="41" t="inlineStr">
        <is>
          <t>-</t>
        </is>
      </c>
      <c r="J14" s="41" t="inlineStr">
        <is>
          <t>11303</t>
        </is>
      </c>
      <c r="K14" s="41" t="inlineStr">
        <is>
          <t>Awaiting Payment</t>
        </is>
      </c>
      <c r="L14" s="42" t="n">
        <v>1240</v>
      </c>
      <c r="M14" s="42" t="n">
        <v>1240</v>
      </c>
      <c r="N14" s="41" t="inlineStr">
        <is>
          <t>-</t>
        </is>
      </c>
    </row>
  </sheetData>
  <conditionalFormatting sqref="K2:K14">
    <cfRule type="expression" priority="1" dxfId="0">
      <formula>$K2="Paid"</formula>
    </cfRule>
    <cfRule type="expression" priority="2" dxfId="1">
      <formula>$K2="Past Due"</formula>
    </cfRule>
    <cfRule type="expression" priority="3" dxfId="2">
      <formula>$K2="Awaiting Payment"</formula>
    </cfRule>
  </conditionalFormatting>
  <conditionalFormatting sqref="M2:M14">
    <cfRule type="expression" priority="4" dxfId="2">
      <formula>$M2&gt;0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H11"/>
  <sheetViews>
    <sheetView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30" customWidth="1" min="2" max="2"/>
    <col width="10" customWidth="1" min="3" max="3"/>
    <col width="14" customWidth="1" min="4" max="4"/>
    <col width="14" customWidth="1" min="5" max="5"/>
    <col width="14" customWidth="1" min="6" max="6"/>
    <col width="12" customWidth="1" min="7" max="7"/>
    <col width="14" customWidth="1" min="8" max="8"/>
  </cols>
  <sheetData>
    <row r="2">
      <c r="B2" s="1" t="inlineStr">
        <is>
          <t>ENHANCEMENT CLIENT PERFORMANCE</t>
        </is>
      </c>
    </row>
    <row r="4">
      <c r="B4" s="13" t="inlineStr">
        <is>
          <t>Client</t>
        </is>
      </c>
      <c r="C4" s="13" t="inlineStr">
        <is>
          <t>Jobs</t>
        </is>
      </c>
      <c r="D4" s="13" t="inlineStr">
        <is>
          <t>Revenue</t>
        </is>
      </c>
      <c r="E4" s="13" t="inlineStr">
        <is>
          <t>Costs</t>
        </is>
      </c>
      <c r="F4" s="13" t="inlineStr">
        <is>
          <t>Profit</t>
        </is>
      </c>
      <c r="G4" s="13" t="inlineStr">
        <is>
          <t>Margin</t>
        </is>
      </c>
      <c r="H4" s="13" t="inlineStr">
        <is>
          <t>Avg Job</t>
        </is>
      </c>
    </row>
    <row r="5">
      <c r="B5" s="18" t="inlineStr">
        <is>
          <t>Comcast Corporation</t>
        </is>
      </c>
      <c r="C5" s="15" t="n">
        <v>19</v>
      </c>
      <c r="D5" s="16" t="n">
        <v>20702.87</v>
      </c>
      <c r="E5" s="16" t="n">
        <v>2367.38</v>
      </c>
      <c r="F5" s="16" t="n">
        <v>18335.49</v>
      </c>
      <c r="G5" s="17">
        <f>IFERROR(F5/D5,0)</f>
        <v/>
      </c>
      <c r="H5" s="16">
        <f>IFERROR(D5/C5,0)</f>
        <v/>
      </c>
    </row>
    <row r="6">
      <c r="B6" s="20" t="inlineStr">
        <is>
          <t>Inter Atlanta FC</t>
        </is>
      </c>
      <c r="C6" s="21" t="n">
        <v>4</v>
      </c>
      <c r="D6" s="22" t="n">
        <v>7028</v>
      </c>
      <c r="E6" s="22" t="n">
        <v>13853.62</v>
      </c>
      <c r="F6" s="22" t="n">
        <v>-6825.620000000001</v>
      </c>
      <c r="G6" s="23">
        <f>IFERROR(F6/D6,0)</f>
        <v/>
      </c>
      <c r="H6" s="22">
        <f>IFERROR(D6/C6,0)</f>
        <v/>
      </c>
    </row>
    <row r="7">
      <c r="B7" s="18" t="inlineStr">
        <is>
          <t>Kim King Associates</t>
        </is>
      </c>
      <c r="C7" s="15" t="n">
        <v>2</v>
      </c>
      <c r="D7" s="16" t="n">
        <v>4557.5</v>
      </c>
      <c r="E7" s="16" t="n">
        <v>3675</v>
      </c>
      <c r="F7" s="16" t="n">
        <v>882.5</v>
      </c>
      <c r="G7" s="17">
        <f>IFERROR(F7/D7,0)</f>
        <v/>
      </c>
      <c r="H7" s="16">
        <f>IFERROR(D7/C7,0)</f>
        <v/>
      </c>
    </row>
    <row r="8">
      <c r="B8" s="20" t="inlineStr">
        <is>
          <t>Max Slater</t>
        </is>
      </c>
      <c r="C8" s="21" t="n">
        <v>2</v>
      </c>
      <c r="D8" s="22" t="n">
        <v>1943.13</v>
      </c>
      <c r="E8" s="22" t="n">
        <v>1448.31</v>
      </c>
      <c r="F8" s="22" t="n">
        <v>494.82</v>
      </c>
      <c r="G8" s="23">
        <f>IFERROR(F8/D8,0)</f>
        <v/>
      </c>
      <c r="H8" s="22">
        <f>IFERROR(D8/C8,0)</f>
        <v/>
      </c>
    </row>
    <row r="9">
      <c r="B9" s="18" t="inlineStr">
        <is>
          <t>Greg Reihing</t>
        </is>
      </c>
      <c r="C9" s="15" t="n">
        <v>1</v>
      </c>
      <c r="D9" s="16" t="n">
        <v>549.25</v>
      </c>
      <c r="E9" s="16" t="n">
        <v>652.42</v>
      </c>
      <c r="F9" s="16" t="n">
        <v>-103.17</v>
      </c>
      <c r="G9" s="17">
        <f>IFERROR(F9/D9,0)</f>
        <v/>
      </c>
      <c r="H9" s="16">
        <f>IFERROR(D9/C9,0)</f>
        <v/>
      </c>
    </row>
    <row r="10">
      <c r="B10" s="20" t="inlineStr">
        <is>
          <t>Mary Smith</t>
        </is>
      </c>
      <c r="C10" s="21" t="n">
        <v>1</v>
      </c>
      <c r="D10" s="22" t="n">
        <v>450</v>
      </c>
      <c r="E10" s="22" t="n">
        <v>0</v>
      </c>
      <c r="F10" s="22" t="n">
        <v>450</v>
      </c>
      <c r="G10" s="23">
        <f>IFERROR(F10/D10,0)</f>
        <v/>
      </c>
      <c r="H10" s="22">
        <f>IFERROR(D10/C10,0)</f>
        <v/>
      </c>
    </row>
    <row r="11">
      <c r="B11" s="18" t="inlineStr">
        <is>
          <t>Reagan Burford</t>
        </is>
      </c>
      <c r="C11" s="15" t="n">
        <v>1</v>
      </c>
      <c r="D11" s="16" t="n">
        <v>175</v>
      </c>
      <c r="E11" s="16" t="n">
        <v>0</v>
      </c>
      <c r="F11" s="16" t="n">
        <v>175</v>
      </c>
      <c r="G11" s="17">
        <f>IFERROR(F11/D11,0)</f>
        <v/>
      </c>
      <c r="H11" s="16">
        <f>IFERROR(D11/C11,0)</f>
        <v/>
      </c>
    </row>
  </sheetData>
  <mergeCells count="1">
    <mergeCell ref="B2:H2"/>
  </mergeCells>
  <conditionalFormatting sqref="F5:F11">
    <cfRule type="expression" priority="1" dxfId="0">
      <formula>$F5&gt;0</formula>
    </cfRule>
    <cfRule type="expression" priority="2" dxfId="1">
      <formula>$F5&lt;0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2026-02-02T00:13:10Z</dcterms:created>
  <dcterms:modified xmlns:dcterms="http://purl.org/dc/terms/" xmlns:xsi="http://www.w3.org/2001/XMLSchema-instance" xsi:type="dcterms:W3CDTF">2026-02-02T00:13:10Z</dcterms:modified>
</cp:coreProperties>
</file>